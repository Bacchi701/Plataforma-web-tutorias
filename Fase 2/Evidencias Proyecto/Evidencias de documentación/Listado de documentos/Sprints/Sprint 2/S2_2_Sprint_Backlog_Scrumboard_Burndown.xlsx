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Backlog" sheetId="1" state="visible" r:id="rId3"/>
    <sheet name="Scrumboard" sheetId="2" state="visible" r:id="rId4"/>
    <sheet name="Burndown" sheetId="3" state="visible" r:id="rId5"/>
    <sheet name="Capacidad" sheetId="4" state="visible" r:id="rId6"/>
    <sheet name="Instrucciones" sheetId="5" state="visible" r:id="rId7"/>
  </sheets>
  <definedNames>
    <definedName function="false" hidden="false" localSheetId="0" name="_xlnm.Print_Titles" vbProcedure="false">'Sprint Backlog'!$9:$9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<sst xmlns="http://schemas.openxmlformats.org/spreadsheetml/2006/main" count="177" uniqueCount="133">
  <si>
    <t xml:space="preserve">Sprint 2 · Sprint Backlog, Scrumboard y Burndown</t>
  </si>
  <si>
    <t xml:space="preserve">05-10-2026 al 18-10-2026 · semanas S9 y S10 del curso · versión v0.2 en main al cierre</t>
  </si>
  <si>
    <t xml:space="preserve">Objetivo del sprint</t>
  </si>
  <si>
    <t xml:space="preserve">Que un usuario complete su perfil, declare una asignatura habilitada con su tarifa y publique disponibilidad; y dejar construidos contra contrato la solicitud de tutoría, los avisos por correo y la sincronización de las copias de lectura.</t>
  </si>
  <si>
    <t xml:space="preserve">Se demuestra al cierre</t>
  </si>
  <si>
    <t xml:space="preserve">CA2 completo, incluido el rechazo cuando la asignatura no corresponde al nivel, y el catálogo cargado con las carreras comprometidas. Además, una solicitud creada contra la API y su aviso en la bandeja de desarrollo, si la integración alcanza.</t>
  </si>
  <si>
    <t xml:space="preserve">Contratos que se congelan</t>
  </si>
  <si>
    <t xml:space="preserve">Se congelan al abrir el sprint con la primera parte de HU-11: Identidad (GET y PATCH /yo), Catálogo (/carreras, /sedes, /carreras/{id}/asignaturas, /asignaturas?buscar= y sus endpoints internos), Tutorías (/perfiles, /disponibilidad y POST /reservas) y el aviso interno de Identidad (POST /internal/avisos), que HU-16 construye contra contrato.</t>
  </si>
  <si>
    <t xml:space="preserve">Inicio</t>
  </si>
  <si>
    <t xml:space="preserve">Término</t>
  </si>
  <si>
    <t xml:space="preserve">Actualizado al</t>
  </si>
  <si>
    <t xml:space="preserve">← cambia esta fecha cada vez que actualices los estados; el burndown se dibuja hasta ella.</t>
  </si>
  <si>
    <t xml:space="preserve">ID</t>
  </si>
  <si>
    <t xml:space="preserve">Historia</t>
  </si>
  <si>
    <t xml:space="preserve">Tipo</t>
  </si>
  <si>
    <t xml:space="preserve">Dueño</t>
  </si>
  <si>
    <t xml:space="preserve">Revisor sugerido</t>
  </si>
  <si>
    <t xml:space="preserve">Horas</t>
  </si>
  <si>
    <t xml:space="preserve">Cuándo (previsto)</t>
  </si>
  <si>
    <t xml:space="preserve">Estado</t>
  </si>
  <si>
    <t xml:space="preserve">Fecha Listo</t>
  </si>
  <si>
    <t xml:space="preserve">Horas reales</t>
  </si>
  <si>
    <t xml:space="preserve">Rama o Pull Request</t>
  </si>
  <si>
    <t xml:space="preserve">Criterios del MVP</t>
  </si>
  <si>
    <t xml:space="preserve">Notas</t>
  </si>
  <si>
    <t xml:space="preserve">Orden</t>
  </si>
  <si>
    <t xml:space="preserve">Clave</t>
  </si>
  <si>
    <t xml:space="preserve">Tarjeta del tablero</t>
  </si>
  <si>
    <t xml:space="preserve">HU-11</t>
  </si>
  <si>
    <t xml:space="preserve">Pruebas de Identidad y contratos del sprint 2</t>
  </si>
  <si>
    <t xml:space="preserve">Técnica</t>
  </si>
  <si>
    <t xml:space="preserve">Bryan</t>
  </si>
  <si>
    <t xml:space="preserve">Damaris</t>
  </si>
  <si>
    <t xml:space="preserve">Contratos el 05-10; pruebas en la semana 2</t>
  </si>
  <si>
    <t xml:space="preserve">Por hacer</t>
  </si>
  <si>
    <t xml:space="preserve">CA1 · CA2</t>
  </si>
  <si>
    <t xml:space="preserve">Se parte en dos: los contratos el primer día del sprint y las pruebas en la segunda semana.
Los contratos se escriben antes del 05-10, idealmente en la planificación del 04-10: nada se construye contra un contrato no escrito (A9).</t>
  </si>
  <si>
    <t xml:space="preserve">HU-10</t>
  </si>
  <si>
    <t xml:space="preserve">Perfil con carrera, nivel y sede</t>
  </si>
  <si>
    <t xml:space="preserve">Usuario</t>
  </si>
  <si>
    <t xml:space="preserve">Semana 1 (5 al 11-10)</t>
  </si>
  <si>
    <t xml:space="preserve">CA2</t>
  </si>
  <si>
    <t xml:space="preserve">HU-12</t>
  </si>
  <si>
    <t xml:space="preserve">Carreras, sedes, asignaturas y mallas (API)</t>
  </si>
  <si>
    <t xml:space="preserve">Francisco</t>
  </si>
  <si>
    <t xml:space="preserve">Tiene 14 h: se parte en dos ramas (listas y búsqueda; malla y endpoints internos).</t>
  </si>
  <si>
    <t xml:space="preserve">HU-14</t>
  </si>
  <si>
    <t xml:space="preserve">Declarar asignaturas con tarifa (RN-01)</t>
  </si>
  <si>
    <t xml:space="preserve">Tiene 14 h: se parte en dos ramas (regla RN-01; copias de lectura y pantalla).</t>
  </si>
  <si>
    <t xml:space="preserve">HU-15</t>
  </si>
  <si>
    <t xml:space="preserve">Bloques de disponibilidad</t>
  </si>
  <si>
    <t xml:space="preserve">Semana 2 (12 al 18-10)</t>
  </si>
  <si>
    <t xml:space="preserve">HU-13</t>
  </si>
  <si>
    <t xml:space="preserve">Carga de 3 a 5 carreras</t>
  </si>
  <si>
    <t xml:space="preserve">HU-19</t>
  </si>
  <si>
    <t xml:space="preserve">Sincronización de copias de lectura</t>
  </si>
  <si>
    <t xml:space="preserve">CA3 · CA7</t>
  </si>
  <si>
    <t xml:space="preserve">Adelantada del sprint 3 al 2 en la replanificación.
Se ejecuta a mano hasta que exista el contenedor programador (HU-37).</t>
  </si>
  <si>
    <t xml:space="preserve">HU-21</t>
  </si>
  <si>
    <t xml:space="preserve">Solicitar una tutoría</t>
  </si>
  <si>
    <t xml:space="preserve">CA3</t>
  </si>
  <si>
    <t xml:space="preserve">Adelantada del sprint 3 al 2 en la replanificación.</t>
  </si>
  <si>
    <t xml:space="preserve">HU-16</t>
  </si>
  <si>
    <t xml:space="preserve">Avisos por correo</t>
  </si>
  <si>
    <t xml:space="preserve">CA3 · CA4</t>
  </si>
  <si>
    <t xml:space="preserve">Adelantada del sprint 3 al 2 en la replanificación: se construye contra el contrato y se integra en el sprint 3.</t>
  </si>
  <si>
    <t xml:space="preserve">Total comprometido</t>
  </si>
  <si>
    <t xml:space="preserve">Horas terminadas (Listo)</t>
  </si>
  <si>
    <t xml:space="preserve">% terminado</t>
  </si>
  <si>
    <t xml:space="preserve">Indicador al cierre</t>
  </si>
  <si>
    <t xml:space="preserve">Las columnas grises (Orden, Clave y Tarjeta) alimentan la hoja Scrumboard: no se editan.</t>
  </si>
  <si>
    <t xml:space="preserve">Sprint 2 · Scrumboard</t>
  </si>
  <si>
    <t xml:space="preserve">Se actualiza solo: cambia el Estado de cada historia en la hoja Sprint Backlog.</t>
  </si>
  <si>
    <t xml:space="preserve">Columnas: Por hacer · En curso · En revisión (Pull Request abierto) · Listo (cumple la definición de Listo y está fusionada a develop). Si el equipo usa el tablero del repositorio (GitHub Projects), esta hoja se actualiza con su estado al cierre y queda como evidencia.</t>
  </si>
  <si>
    <t xml:space="preserve">Sprint 2 · Burndown</t>
  </si>
  <si>
    <t xml:space="preserve">Horas que faltan para terminar lo comprometido. Solo cuentan las historias en Listo, el día en que se fusionaron.</t>
  </si>
  <si>
    <t xml:space="preserve">Horas comprometidas</t>
  </si>
  <si>
    <t xml:space="preserve">Días del sprint</t>
  </si>
  <si>
    <t xml:space="preserve">Datos hasta el</t>
  </si>
  <si>
    <t xml:space="preserve">Día</t>
  </si>
  <si>
    <t xml:space="preserve">Fecha</t>
  </si>
  <si>
    <t xml:space="preserve">Ideal (h que faltan)</t>
  </si>
  <si>
    <t xml:space="preserve">Real (h que faltan)</t>
  </si>
  <si>
    <t xml:space="preserve">Terminadas ese día (h)</t>
  </si>
  <si>
    <t xml:space="preserve">Barras: horas que faltan según las historias en Listo hasta la fecha de «Datos hasta el». Línea roja: avance ideal parejo. Las barras bajan de a saltos porque una historia solo cuenta cuando se fusiona completa: partir las historias grandes suaviza la curva.</t>
  </si>
  <si>
    <t xml:space="preserve">Sprint 2 · Capacidad y velocidad</t>
  </si>
  <si>
    <t xml:space="preserve">Horas declaradas cada lunes (acuerdo A1) frente a lo comprometido y lo terminado. Es la base de la velocidad del sprint.</t>
  </si>
  <si>
    <t xml:space="preserve">Integrante</t>
  </si>
  <si>
    <t xml:space="preserve">Declaradas semana 1 (h)</t>
  </si>
  <si>
    <t xml:space="preserve">Declaradas semana 2 (h)</t>
  </si>
  <si>
    <t xml:space="preserve">Capacidad de desarrollo (h)</t>
  </si>
  <si>
    <t xml:space="preserve">Comprometidas (h)</t>
  </si>
  <si>
    <t xml:space="preserve">Terminadas (h)</t>
  </si>
  <si>
    <t xml:space="preserve">Observaciones</t>
  </si>
  <si>
    <t xml:space="preserve">Bryan Bacchi</t>
  </si>
  <si>
    <t xml:space="preserve">Francisco Tejeda</t>
  </si>
  <si>
    <t xml:space="preserve">Damaris Iriarte</t>
  </si>
  <si>
    <t xml:space="preserve">Total</t>
  </si>
  <si>
    <t xml:space="preserve">Capacidad con 25 h semanales: 14,75 h de desarrollo por semana para Bryan y 18,75 h para Francisco y Damaris (replanificación).</t>
  </si>
  <si>
    <t xml:space="preserve">En amarillo: lo que el equipo completa (horas declaradas cada lunes y observaciones). En azul: valores escritos a mano. La velocidad del sprint es la fila Total de «Terminadas».</t>
  </si>
  <si>
    <t xml:space="preserve">Sprint 2 · Instrucciones</t>
  </si>
  <si>
    <t xml:space="preserve">Cómo se usa</t>
  </si>
  <si>
    <t xml:space="preserve">1. Cada vez que cambia algo</t>
  </si>
  <si>
    <t xml:space="preserve">En la hoja Sprint Backlog, cambia el Estado de la historia (Por hacer, En curso, En revisión o Listo). Si pasa a Listo, escribe la Fecha Listo: el día en que se fusionó a develop.</t>
  </si>
  <si>
    <t xml:space="preserve">2. Al actualizar</t>
  </si>
  <si>
    <t xml:space="preserve">Cambia la fecha «Actualizado al» (celda amarilla). El burndown se dibuja hasta esa fecha y el scrumboard se reordena solo.</t>
  </si>
  <si>
    <t xml:space="preserve">3. Cada lunes</t>
  </si>
  <si>
    <t xml:space="preserve">En la hoja Capacidad, cada uno escribe las horas que declaró en el chat (acuerdo A1).</t>
  </si>
  <si>
    <t xml:space="preserve">4. Al cerrar el sprint</t>
  </si>
  <si>
    <t xml:space="preserve">Completa Horas reales y Rama o Pull Request de cada historia, revisa el indicador al cierre y copia los números al Sprint Review.</t>
  </si>
  <si>
    <t xml:space="preserve">Ejemplo de llenado</t>
  </si>
  <si>
    <t xml:space="preserve">Rama o Pull Request: «feat/HU-04-registro · PR #5». Horas reales: 11. Fecha Listo: 30-09-2026. (Ejemplo ilustrativo, no es un dato real.)</t>
  </si>
  <si>
    <t xml:space="preserve">Definición de Listo (Pilar 5 §8)</t>
  </si>
  <si>
    <t xml:space="preserve">Una historia está en Listo solo si</t>
  </si>
  <si>
    <t xml:space="preserve">Cumple sus criterios de aceptación sobre el sistema levantado · tiene pruebas automáticas de sus reglas · la integración continua está en verde · un compañero la aprobó · el contrato en docs/api refleja la API real · se levanta desde un clon limpio · está fusionada a develop.</t>
  </si>
  <si>
    <t xml:space="preserve">Reuniones del sprint</t>
  </si>
  <si>
    <t xml:space="preserve">Lunes 05-10</t>
  </si>
  <si>
    <t xml:space="preserve">Declaración de horas de la semana (A1)</t>
  </si>
  <si>
    <t xml:space="preserve">Martes 06-10</t>
  </si>
  <si>
    <t xml:space="preserve">Sincronización de inicio (60 min)</t>
  </si>
  <si>
    <t xml:space="preserve">Viernes 09-10</t>
  </si>
  <si>
    <t xml:space="preserve">Punto de control (30 min)</t>
  </si>
  <si>
    <t xml:space="preserve">Lunes 12-10</t>
  </si>
  <si>
    <t xml:space="preserve">Declaración de horas (A1). Feriado: puede sumar o restar horas</t>
  </si>
  <si>
    <t xml:space="preserve">Martes 13-10</t>
  </si>
  <si>
    <t xml:space="preserve">Viernes 16-10</t>
  </si>
  <si>
    <t xml:space="preserve">Domingo 18-10</t>
  </si>
  <si>
    <t xml:space="preserve">Cierre del sprint (90 min) y reporte al profesor. Disparador: menos del 90 % terminado aplica el escalón 3</t>
  </si>
  <si>
    <t xml:space="preserve">Fuentes</t>
  </si>
  <si>
    <t xml:space="preserve">Historias, horas y dueños</t>
  </si>
  <si>
    <t xml:space="preserve">Pilar 4 v1.6 y replanificación del 25-09 (sprints y dos cambios de dueño a acordar).</t>
  </si>
  <si>
    <t xml:space="preserve">Estado inicial</t>
  </si>
  <si>
    <t xml:space="preserve">Todas en Por hacer: el sprint todavía no empieza.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</si>
</sst>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yy"/>
    <numFmt numFmtId="166" formatCode="0"/>
    <numFmt numFmtId="167" formatCode="0%"/>
    <numFmt numFmtId="168" formatCode="0.0"/>
    <numFmt numFmtId="169" formatCode="0.0#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F4E7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EF3F8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7F7F7F"/>
        <bgColor rgb="FF878787"/>
      </patternFill>
    </fill>
    <fill>
      <patternFill patternType="solid">
        <fgColor rgb="FFFFFB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EEAF6"/>
        </patternFill>
      </fill>
    </dxf>
    <dxf>
      <fill>
        <patternFill>
          <bgColor rgb="FFF2F2F2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ill>
        <patternFill>
          <bgColor rgb="FFFFF2CC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ill>
        <patternFill>
          <bgColor rgb="FFDEEAF6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ill>
        <patternFill>
          <bgColor rgb="FFE2EFDA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BE6"/>
      <rgbColor rgb="FFDEE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8"/>
      <rgbColor rgb="FFE2EFDA"/>
      <rgbColor rgb="FFFFF2CC"/>
      <rgbColor rgb="FF99CCFF"/>
      <rgbColor rgb="FFFF99CC"/>
      <rgbColor rgb="FFCC99FF"/>
      <rgbColor rgb="FFF2F2F2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del sprint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Burndown!D8</c:f>
              <c:strCache>
                <c:ptCount val="1"/>
                <c:pt idx="0">
                  <c:v>Real (h que faltan)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Burndown!$A$9:$A$23</c:f>
              <c:strCache>
                <c:ptCount val="15"/>
                <c:pt idx="0">
                  <c:v>Inicio</c:v>
                </c:pt>
                <c:pt idx="1">
                  <c:v>05-10</c:v>
                </c:pt>
                <c:pt idx="2">
                  <c:v>06-10</c:v>
                </c:pt>
                <c:pt idx="3">
                  <c:v>07-10</c:v>
                </c:pt>
                <c:pt idx="4">
                  <c:v>08-10</c:v>
                </c:pt>
                <c:pt idx="5">
                  <c:v>09-10</c:v>
                </c:pt>
                <c:pt idx="6">
                  <c:v>10-10</c:v>
                </c:pt>
                <c:pt idx="7">
                  <c:v>11-10</c:v>
                </c:pt>
                <c:pt idx="8">
                  <c:v>12-10</c:v>
                </c:pt>
                <c:pt idx="9">
                  <c:v>13-10</c:v>
                </c:pt>
                <c:pt idx="10">
                  <c:v>14-10</c:v>
                </c:pt>
                <c:pt idx="11">
                  <c:v>15-10</c:v>
                </c:pt>
                <c:pt idx="12">
                  <c:v>16-10</c:v>
                </c:pt>
                <c:pt idx="13">
                  <c:v>17-10</c:v>
                </c:pt>
                <c:pt idx="14">
                  <c:v>18-10</c:v>
                </c:pt>
              </c:strCache>
            </c:strRef>
          </c:cat>
          <c:val>
            <c:numRef>
              <c:f>Burndown!$D$9:$D$23</c:f>
              <c:numCache>
                <c:formatCode>0</c:formatCode>
                <c:ptCount val="15"/>
                <c:pt idx="0">
                  <c:v>100</c:v>
                </c:pt>
              </c:numCache>
            </c:numRef>
          </c:val>
        </c:ser>
        <c:gapWidth val="60"/>
        <c:overlap val="0"/>
        <c:axId val="23226967"/>
        <c:axId val="67999276"/>
      </c:barChart>
      <c:lineChart>
        <c:grouping val="standard"/>
        <c:varyColors val="0"/>
        <c:ser>
          <c:idx val="1"/>
          <c:order val="1"/>
          <c:tx>
            <c:strRef>
              <c:f>Burndown!C8</c:f>
              <c:strCache>
                <c:ptCount val="1"/>
                <c:pt idx="0">
                  <c:v>Ideal (h que faltan)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Burndown!$A$9:$A$23</c:f>
              <c:strCache>
                <c:ptCount val="15"/>
                <c:pt idx="0">
                  <c:v>Inicio</c:v>
                </c:pt>
                <c:pt idx="1">
                  <c:v>05-10</c:v>
                </c:pt>
                <c:pt idx="2">
                  <c:v>06-10</c:v>
                </c:pt>
                <c:pt idx="3">
                  <c:v>07-10</c:v>
                </c:pt>
                <c:pt idx="4">
                  <c:v>08-10</c:v>
                </c:pt>
                <c:pt idx="5">
                  <c:v>09-10</c:v>
                </c:pt>
                <c:pt idx="6">
                  <c:v>10-10</c:v>
                </c:pt>
                <c:pt idx="7">
                  <c:v>11-10</c:v>
                </c:pt>
                <c:pt idx="8">
                  <c:v>12-10</c:v>
                </c:pt>
                <c:pt idx="9">
                  <c:v>13-10</c:v>
                </c:pt>
                <c:pt idx="10">
                  <c:v>14-10</c:v>
                </c:pt>
                <c:pt idx="11">
                  <c:v>15-10</c:v>
                </c:pt>
                <c:pt idx="12">
                  <c:v>16-10</c:v>
                </c:pt>
                <c:pt idx="13">
                  <c:v>17-10</c:v>
                </c:pt>
                <c:pt idx="14">
                  <c:v>18-10</c:v>
                </c:pt>
              </c:strCache>
            </c:strRef>
          </c:cat>
          <c:val>
            <c:numRef>
              <c:f>Burndown!$C$9:$C$23</c:f>
              <c:numCache>
                <c:formatCode>0.0</c:formatCode>
                <c:ptCount val="15"/>
                <c:pt idx="0">
                  <c:v>100</c:v>
                </c:pt>
                <c:pt idx="1">
                  <c:v>92.8571428571429</c:v>
                </c:pt>
                <c:pt idx="2">
                  <c:v>85.7142857142857</c:v>
                </c:pt>
                <c:pt idx="3">
                  <c:v>78.5714285714286</c:v>
                </c:pt>
                <c:pt idx="4">
                  <c:v>71.4285714285714</c:v>
                </c:pt>
                <c:pt idx="5">
                  <c:v>64.2857142857143</c:v>
                </c:pt>
                <c:pt idx="6">
                  <c:v>57.1428571428571</c:v>
                </c:pt>
                <c:pt idx="7">
                  <c:v>50</c:v>
                </c:pt>
                <c:pt idx="8">
                  <c:v>42.8571428571429</c:v>
                </c:pt>
                <c:pt idx="9">
                  <c:v>35.7142857142857</c:v>
                </c:pt>
                <c:pt idx="10">
                  <c:v>28.5714285714286</c:v>
                </c:pt>
                <c:pt idx="11">
                  <c:v>21.4285714285714</c:v>
                </c:pt>
                <c:pt idx="12">
                  <c:v>14.2857142857143</c:v>
                </c:pt>
                <c:pt idx="13">
                  <c:v>7.14285714285714</c:v>
                </c:pt>
                <c:pt idx="14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226967"/>
        <c:axId val="67999276"/>
      </c:lineChart>
      <c:catAx>
        <c:axId val="232269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999276"/>
        <c:crosses val="autoZero"/>
        <c:auto val="1"/>
        <c:lblAlgn val="ctr"/>
        <c:lblOffset val="100"/>
        <c:noMultiLvlLbl val="0"/>
      </c:catAx>
      <c:valAx>
        <c:axId val="67999276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que faltan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269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16</xdr:col>
      <xdr:colOff>364680</xdr:colOff>
      <xdr:row>18</xdr:row>
      <xdr:rowOff>127800</xdr:rowOff>
    </xdr:to>
    <xdr:graphicFrame>
      <xdr:nvGraphicFramePr>
        <xdr:cNvPr id="0" name="Chart 1"/>
        <xdr:cNvGraphicFramePr/>
      </xdr:nvGraphicFramePr>
      <xdr:xfrm>
        <a:off x="585036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7" min="7" style="0" width="24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24"/>
    <col collapsed="false" customWidth="true" hidden="false" outlineLevel="0" max="12" min="12" style="0" width="12"/>
    <col collapsed="false" customWidth="true" hidden="false" outlineLevel="0" max="13" min="13" style="0" width="44"/>
    <col collapsed="false" customWidth="true" hidden="false" outlineLevel="0" max="14" min="14" style="0" width="7"/>
    <col collapsed="false" customWidth="true" hidden="false" outlineLevel="0" max="15" min="15" style="0" width="16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9.25" hidden="false" customHeight="tru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29.25" hidden="false" customHeight="tru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29.25" hidden="false" customHeight="tru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15" hidden="false" customHeight="false" outlineLevel="0" collapsed="false">
      <c r="A7" s="3" t="s">
        <v>8</v>
      </c>
      <c r="C7" s="5" t="n">
        <v>46300</v>
      </c>
      <c r="D7" s="3" t="s">
        <v>9</v>
      </c>
      <c r="E7" s="5" t="n">
        <v>46313</v>
      </c>
      <c r="G7" s="6" t="s">
        <v>10</v>
      </c>
      <c r="H7" s="7"/>
      <c r="I7" s="8" t="s">
        <v>11</v>
      </c>
    </row>
    <row r="9" customFormat="false" ht="30" hidden="false" customHeight="true" outlineLevel="0" collapsed="false">
      <c r="A9" s="9" t="s">
        <v>12</v>
      </c>
      <c r="B9" s="9" t="s">
        <v>13</v>
      </c>
      <c r="C9" s="9" t="s">
        <v>14</v>
      </c>
      <c r="D9" s="9" t="s">
        <v>15</v>
      </c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  <c r="J9" s="9" t="s">
        <v>21</v>
      </c>
      <c r="K9" s="9" t="s">
        <v>22</v>
      </c>
      <c r="L9" s="9" t="s">
        <v>23</v>
      </c>
      <c r="M9" s="9" t="s">
        <v>24</v>
      </c>
      <c r="N9" s="10" t="s">
        <v>25</v>
      </c>
      <c r="O9" s="10" t="s">
        <v>26</v>
      </c>
      <c r="P9" s="10" t="s">
        <v>27</v>
      </c>
    </row>
    <row r="10" customFormat="false" ht="69" hidden="false" customHeight="true" outlineLevel="0" collapsed="false">
      <c r="A10" s="11" t="s">
        <v>28</v>
      </c>
      <c r="B10" s="4" t="s">
        <v>29</v>
      </c>
      <c r="C10" s="4" t="s">
        <v>30</v>
      </c>
      <c r="D10" s="4" t="s">
        <v>31</v>
      </c>
      <c r="E10" s="4" t="s">
        <v>32</v>
      </c>
      <c r="F10" s="12" t="n">
        <v>8</v>
      </c>
      <c r="G10" s="4" t="s">
        <v>33</v>
      </c>
      <c r="H10" s="13" t="s">
        <v>34</v>
      </c>
      <c r="I10" s="14"/>
      <c r="J10" s="15"/>
      <c r="K10" s="13"/>
      <c r="L10" s="4" t="s">
        <v>35</v>
      </c>
      <c r="M10" s="4" t="s">
        <v>36</v>
      </c>
      <c r="N10" s="16" t="n">
        <f aca="false">IF(H10="","",COUNTIF(H$10:H10,H10))</f>
        <v>1</v>
      </c>
      <c r="O10" s="17" t="str">
        <f aca="false">IF(H10="","",H10&amp;"|"&amp;N10)</f>
        <v>Por hacer|1</v>
      </c>
      <c r="P10" s="17" t="str">
        <f aca="false">A10&amp;" · "&amp;B10&amp;" · "&amp;D10&amp;" · "&amp;F10&amp;" h"</f>
        <v>HU-11 · Pruebas de Identidad y contratos del sprint 2 · Bryan · 8 h</v>
      </c>
    </row>
    <row r="11" customFormat="false" ht="15.75" hidden="false" customHeight="true" outlineLevel="0" collapsed="false">
      <c r="A11" s="11" t="s">
        <v>37</v>
      </c>
      <c r="B11" s="4" t="s">
        <v>38</v>
      </c>
      <c r="C11" s="4" t="s">
        <v>39</v>
      </c>
      <c r="D11" s="4" t="s">
        <v>31</v>
      </c>
      <c r="E11" s="4" t="s">
        <v>32</v>
      </c>
      <c r="F11" s="12" t="n">
        <v>12</v>
      </c>
      <c r="G11" s="4" t="s">
        <v>40</v>
      </c>
      <c r="H11" s="13" t="s">
        <v>34</v>
      </c>
      <c r="I11" s="14"/>
      <c r="J11" s="15"/>
      <c r="K11" s="13"/>
      <c r="L11" s="4" t="s">
        <v>41</v>
      </c>
      <c r="M11" s="4"/>
      <c r="N11" s="16" t="n">
        <f aca="false">IF(H11="","",COUNTIF(H$10:H11,H11))</f>
        <v>2</v>
      </c>
      <c r="O11" s="17" t="str">
        <f aca="false">IF(H11="","",H11&amp;"|"&amp;N11)</f>
        <v>Por hacer|2</v>
      </c>
      <c r="P11" s="17" t="str">
        <f aca="false">A11&amp;" · "&amp;B11&amp;" · "&amp;D11&amp;" · "&amp;F11&amp;" h"</f>
        <v>HU-10 · Perfil con carrera, nivel y sede · Bryan · 12 h</v>
      </c>
    </row>
    <row r="12" customFormat="false" ht="29.25" hidden="false" customHeight="true" outlineLevel="0" collapsed="false">
      <c r="A12" s="11" t="s">
        <v>42</v>
      </c>
      <c r="B12" s="4" t="s">
        <v>43</v>
      </c>
      <c r="C12" s="4" t="s">
        <v>39</v>
      </c>
      <c r="D12" s="4" t="s">
        <v>44</v>
      </c>
      <c r="E12" s="4" t="s">
        <v>31</v>
      </c>
      <c r="F12" s="12" t="n">
        <v>14</v>
      </c>
      <c r="G12" s="4" t="s">
        <v>40</v>
      </c>
      <c r="H12" s="13" t="s">
        <v>34</v>
      </c>
      <c r="I12" s="14"/>
      <c r="J12" s="15"/>
      <c r="K12" s="13"/>
      <c r="L12" s="4" t="s">
        <v>41</v>
      </c>
      <c r="M12" s="4" t="s">
        <v>45</v>
      </c>
      <c r="N12" s="16" t="n">
        <f aca="false">IF(H12="","",COUNTIF(H$10:H12,H12))</f>
        <v>3</v>
      </c>
      <c r="O12" s="17" t="str">
        <f aca="false">IF(H12="","",H12&amp;"|"&amp;N12)</f>
        <v>Por hacer|3</v>
      </c>
      <c r="P12" s="17" t="str">
        <f aca="false">A12&amp;" · "&amp;B12&amp;" · "&amp;D12&amp;" · "&amp;F12&amp;" h"</f>
        <v>HU-12 · Carreras, sedes, asignaturas y mallas (API) · Francisco · 14 h</v>
      </c>
    </row>
    <row r="13" customFormat="false" ht="29.25" hidden="false" customHeight="true" outlineLevel="0" collapsed="false">
      <c r="A13" s="11" t="s">
        <v>46</v>
      </c>
      <c r="B13" s="4" t="s">
        <v>47</v>
      </c>
      <c r="C13" s="4" t="s">
        <v>39</v>
      </c>
      <c r="D13" s="4" t="s">
        <v>32</v>
      </c>
      <c r="E13" s="4" t="s">
        <v>44</v>
      </c>
      <c r="F13" s="12" t="n">
        <v>14</v>
      </c>
      <c r="G13" s="4" t="s">
        <v>40</v>
      </c>
      <c r="H13" s="13" t="s">
        <v>34</v>
      </c>
      <c r="I13" s="14"/>
      <c r="J13" s="15"/>
      <c r="K13" s="13"/>
      <c r="L13" s="4" t="s">
        <v>41</v>
      </c>
      <c r="M13" s="4" t="s">
        <v>48</v>
      </c>
      <c r="N13" s="16" t="n">
        <f aca="false">IF(H13="","",COUNTIF(H$10:H13,H13))</f>
        <v>4</v>
      </c>
      <c r="O13" s="17" t="str">
        <f aca="false">IF(H13="","",H13&amp;"|"&amp;N13)</f>
        <v>Por hacer|4</v>
      </c>
      <c r="P13" s="17" t="str">
        <f aca="false">A13&amp;" · "&amp;B13&amp;" · "&amp;D13&amp;" · "&amp;F13&amp;" h"</f>
        <v>HU-14 · Declarar asignaturas con tarifa (RN-01) · Damaris · 14 h</v>
      </c>
    </row>
    <row r="14" customFormat="false" ht="15.75" hidden="false" customHeight="true" outlineLevel="0" collapsed="false">
      <c r="A14" s="11" t="s">
        <v>49</v>
      </c>
      <c r="B14" s="4" t="s">
        <v>50</v>
      </c>
      <c r="C14" s="4" t="s">
        <v>39</v>
      </c>
      <c r="D14" s="4" t="s">
        <v>32</v>
      </c>
      <c r="E14" s="4" t="s">
        <v>44</v>
      </c>
      <c r="F14" s="12" t="n">
        <v>12</v>
      </c>
      <c r="G14" s="4" t="s">
        <v>51</v>
      </c>
      <c r="H14" s="13" t="s">
        <v>34</v>
      </c>
      <c r="I14" s="14"/>
      <c r="J14" s="15"/>
      <c r="K14" s="13"/>
      <c r="L14" s="4" t="s">
        <v>41</v>
      </c>
      <c r="M14" s="4"/>
      <c r="N14" s="16" t="n">
        <f aca="false">IF(H14="","",COUNTIF(H$10:H14,H14))</f>
        <v>5</v>
      </c>
      <c r="O14" s="17" t="str">
        <f aca="false">IF(H14="","",H14&amp;"|"&amp;N14)</f>
        <v>Por hacer|5</v>
      </c>
      <c r="P14" s="17" t="str">
        <f aca="false">A14&amp;" · "&amp;B14&amp;" · "&amp;D14&amp;" · "&amp;F14&amp;" h"</f>
        <v>HU-15 · Bloques de disponibilidad · Damaris · 12 h</v>
      </c>
    </row>
    <row r="15" customFormat="false" ht="15.75" hidden="false" customHeight="true" outlineLevel="0" collapsed="false">
      <c r="A15" s="11" t="s">
        <v>52</v>
      </c>
      <c r="B15" s="4" t="s">
        <v>53</v>
      </c>
      <c r="C15" s="4" t="s">
        <v>39</v>
      </c>
      <c r="D15" s="4" t="s">
        <v>44</v>
      </c>
      <c r="E15" s="4" t="s">
        <v>31</v>
      </c>
      <c r="F15" s="12" t="n">
        <v>12</v>
      </c>
      <c r="G15" s="4" t="s">
        <v>51</v>
      </c>
      <c r="H15" s="13" t="s">
        <v>34</v>
      </c>
      <c r="I15" s="14"/>
      <c r="J15" s="15"/>
      <c r="K15" s="13"/>
      <c r="L15" s="4" t="s">
        <v>41</v>
      </c>
      <c r="M15" s="4"/>
      <c r="N15" s="16" t="n">
        <f aca="false">IF(H15="","",COUNTIF(H$10:H15,H15))</f>
        <v>6</v>
      </c>
      <c r="O15" s="17" t="str">
        <f aca="false">IF(H15="","",H15&amp;"|"&amp;N15)</f>
        <v>Por hacer|6</v>
      </c>
      <c r="P15" s="17" t="str">
        <f aca="false">A15&amp;" · "&amp;B15&amp;" · "&amp;D15&amp;" · "&amp;F15&amp;" h"</f>
        <v>HU-13 · Carga de 3 a 5 carreras · Francisco · 12 h</v>
      </c>
    </row>
    <row r="16" customFormat="false" ht="55.5" hidden="false" customHeight="true" outlineLevel="0" collapsed="false">
      <c r="A16" s="11" t="s">
        <v>54</v>
      </c>
      <c r="B16" s="4" t="s">
        <v>55</v>
      </c>
      <c r="C16" s="4" t="s">
        <v>30</v>
      </c>
      <c r="D16" s="4" t="s">
        <v>44</v>
      </c>
      <c r="E16" s="4" t="s">
        <v>31</v>
      </c>
      <c r="F16" s="12" t="n">
        <v>10</v>
      </c>
      <c r="G16" s="4" t="s">
        <v>51</v>
      </c>
      <c r="H16" s="13" t="s">
        <v>34</v>
      </c>
      <c r="I16" s="14"/>
      <c r="J16" s="15"/>
      <c r="K16" s="13"/>
      <c r="L16" s="4" t="s">
        <v>56</v>
      </c>
      <c r="M16" s="4" t="s">
        <v>57</v>
      </c>
      <c r="N16" s="16" t="n">
        <f aca="false">IF(H16="","",COUNTIF(H$10:H16,H16))</f>
        <v>7</v>
      </c>
      <c r="O16" s="17" t="str">
        <f aca="false">IF(H16="","",H16&amp;"|"&amp;N16)</f>
        <v>Por hacer|7</v>
      </c>
      <c r="P16" s="17" t="str">
        <f aca="false">A16&amp;" · "&amp;B16&amp;" · "&amp;D16&amp;" · "&amp;F16&amp;" h"</f>
        <v>HU-19 · Sincronización de copias de lectura · Francisco · 10 h</v>
      </c>
    </row>
    <row r="17" customFormat="false" ht="29.25" hidden="false" customHeight="true" outlineLevel="0" collapsed="false">
      <c r="A17" s="11" t="s">
        <v>58</v>
      </c>
      <c r="B17" s="4" t="s">
        <v>59</v>
      </c>
      <c r="C17" s="4" t="s">
        <v>39</v>
      </c>
      <c r="D17" s="4" t="s">
        <v>32</v>
      </c>
      <c r="E17" s="4" t="s">
        <v>44</v>
      </c>
      <c r="F17" s="12" t="n">
        <v>8</v>
      </c>
      <c r="G17" s="4" t="s">
        <v>51</v>
      </c>
      <c r="H17" s="13" t="s">
        <v>34</v>
      </c>
      <c r="I17" s="14"/>
      <c r="J17" s="15"/>
      <c r="K17" s="13"/>
      <c r="L17" s="4" t="s">
        <v>60</v>
      </c>
      <c r="M17" s="4" t="s">
        <v>61</v>
      </c>
      <c r="N17" s="16" t="n">
        <f aca="false">IF(H17="","",COUNTIF(H$10:H17,H17))</f>
        <v>8</v>
      </c>
      <c r="O17" s="17" t="str">
        <f aca="false">IF(H17="","",H17&amp;"|"&amp;N17)</f>
        <v>Por hacer|8</v>
      </c>
      <c r="P17" s="17" t="str">
        <f aca="false">A17&amp;" · "&amp;B17&amp;" · "&amp;D17&amp;" · "&amp;F17&amp;" h"</f>
        <v>HU-21 · Solicitar una tutoría · Damaris · 8 h</v>
      </c>
    </row>
    <row r="18" customFormat="false" ht="42" hidden="false" customHeight="true" outlineLevel="0" collapsed="false">
      <c r="A18" s="11" t="s">
        <v>62</v>
      </c>
      <c r="B18" s="4" t="s">
        <v>63</v>
      </c>
      <c r="C18" s="4" t="s">
        <v>39</v>
      </c>
      <c r="D18" s="4" t="s">
        <v>31</v>
      </c>
      <c r="E18" s="4" t="s">
        <v>32</v>
      </c>
      <c r="F18" s="12" t="n">
        <v>10</v>
      </c>
      <c r="G18" s="4" t="s">
        <v>51</v>
      </c>
      <c r="H18" s="13" t="s">
        <v>34</v>
      </c>
      <c r="I18" s="14"/>
      <c r="J18" s="15"/>
      <c r="K18" s="13"/>
      <c r="L18" s="4" t="s">
        <v>64</v>
      </c>
      <c r="M18" s="4" t="s">
        <v>65</v>
      </c>
      <c r="N18" s="16" t="n">
        <f aca="false">IF(H18="","",COUNTIF(H$10:H18,H18))</f>
        <v>9</v>
      </c>
      <c r="O18" s="17" t="str">
        <f aca="false">IF(H18="","",H18&amp;"|"&amp;N18)</f>
        <v>Por hacer|9</v>
      </c>
      <c r="P18" s="17" t="str">
        <f aca="false">A18&amp;" · "&amp;B18&amp;" · "&amp;D18&amp;" · "&amp;F18&amp;" h"</f>
        <v>HU-16 · Avisos por correo · Bryan · 10 h</v>
      </c>
    </row>
    <row r="19" customFormat="false" ht="15" hidden="false" customHeight="false" outlineLevel="0" collapsed="false">
      <c r="B19" s="3" t="s">
        <v>66</v>
      </c>
      <c r="F19" s="18" t="n">
        <f aca="false">SUM(F10:F18)</f>
        <v>100</v>
      </c>
      <c r="J19" s="18" t="n">
        <f aca="false">SUM(J10:J18)</f>
        <v>0</v>
      </c>
    </row>
    <row r="20" customFormat="false" ht="15" hidden="false" customHeight="false" outlineLevel="0" collapsed="false">
      <c r="B20" s="3" t="s">
        <v>67</v>
      </c>
      <c r="F20" s="18" t="n">
        <f aca="false">SUMIFS(F10:F18,H10:H18,"Listo")</f>
        <v>0</v>
      </c>
    </row>
    <row r="21" customFormat="false" ht="15" hidden="false" customHeight="false" outlineLevel="0" collapsed="false">
      <c r="B21" s="3" t="s">
        <v>68</v>
      </c>
      <c r="F21" s="19" t="n">
        <f aca="false">IF(F19=0,0,F20/F19)</f>
        <v>0</v>
      </c>
    </row>
    <row r="22" customFormat="false" ht="15" hidden="false" customHeight="false" outlineLevel="0" collapsed="false">
      <c r="B22" s="3" t="s">
        <v>69</v>
      </c>
      <c r="C22" s="4" t="str">
        <f aca="false">IF(F21&lt;0.9,"Bajo el 90 %: se aplica el escalón 3 del orden de recorte (replanificación)","Sobre el umbral: se planifica el sprint siguiente sin recorte")</f>
        <v>Bajo el 90 %: se aplica el escalón 3 del orden de recorte (replanificación)</v>
      </c>
      <c r="D22" s="4"/>
      <c r="E22" s="4"/>
      <c r="F22" s="4"/>
      <c r="G22" s="4"/>
      <c r="H22" s="4"/>
      <c r="I22" s="4"/>
      <c r="J22" s="4"/>
      <c r="K22" s="4"/>
      <c r="L22" s="4"/>
      <c r="M22" s="4"/>
    </row>
    <row r="24" customFormat="false" ht="15" hidden="false" customHeight="false" outlineLevel="0" collapsed="false">
      <c r="A24" s="8" t="s">
        <v>70</v>
      </c>
    </row>
  </sheetData>
  <mergeCells count="7">
    <mergeCell ref="A4:B4"/>
    <mergeCell ref="C4:M4"/>
    <mergeCell ref="A5:B5"/>
    <mergeCell ref="C5:M5"/>
    <mergeCell ref="A6:B6"/>
    <mergeCell ref="C6:M6"/>
    <mergeCell ref="C22:M22"/>
  </mergeCells>
  <conditionalFormatting sqref="H10:H18">
    <cfRule type="cellIs" priority="2" operator="equal" aboveAverage="0" equalAverage="0" bottom="0" percent="0" rank="0" text="" dxfId="0">
      <formula>"Listo"</formula>
    </cfRule>
    <cfRule type="cellIs" priority="3" operator="equal" aboveAverage="0" equalAverage="0" bottom="0" percent="0" rank="0" text="" dxfId="1">
      <formula>"En curso"</formula>
    </cfRule>
    <cfRule type="cellIs" priority="4" operator="equal" aboveAverage="0" equalAverage="0" bottom="0" percent="0" rank="0" text="" dxfId="2">
      <formula>"En revisión"</formula>
    </cfRule>
  </conditionalFormatting>
  <dataValidations count="1">
    <dataValidation allowBlank="true" error="Elige un valor de la lista." errorStyle="stop" errorTitle="Valor no válido" operator="between" showDropDown="false" showErrorMessage="false" showInputMessage="false" sqref="H10:H18" type="list">
      <formula1>"Por hacer,En curso,En revisión,Listo"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40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30" hidden="false" customHeight="true" outlineLevel="0" collapsed="false">
      <c r="A4" s="20" t="str">
        <f aca="false">"Por hacer · "&amp;COUNTIF('Sprint Backlog'!$H$10:$H$18,"Por hacer")&amp;IF(COUNTIF('Sprint Backlog'!$H$10:$H$18,"Por hacer")=1," historia · "," historias · ")&amp;SUMIFS('Sprint Backlog'!$F$10:$F$18,'Sprint Backlog'!$H$10:$H$18,"Por hacer")&amp;" h"</f>
        <v>Por hacer · 9 historias · 100 h</v>
      </c>
      <c r="B4" s="20" t="str">
        <f aca="false">"En curso · "&amp;COUNTIF('Sprint Backlog'!$H$10:$H$18,"En curso")&amp;IF(COUNTIF('Sprint Backlog'!$H$10:$H$18,"En curso")=1," historia · "," historias · ")&amp;SUMIFS('Sprint Backlog'!$F$10:$F$18,'Sprint Backlog'!$H$10:$H$18,"En curso")&amp;" h"</f>
        <v>En curso · 0 historias · 0 h</v>
      </c>
      <c r="C4" s="20" t="str">
        <f aca="false">"En revisión · "&amp;COUNTIF('Sprint Backlog'!$H$10:$H$18,"En revisión")&amp;IF(COUNTIF('Sprint Backlog'!$H$10:$H$18,"En revisión")=1," historia · "," historias · ")&amp;SUMIFS('Sprint Backlog'!$F$10:$F$18,'Sprint Backlog'!$H$10:$H$18,"En revisión")&amp;" h"</f>
        <v>En revisión · 0 historias · 0 h</v>
      </c>
      <c r="D4" s="20" t="str">
        <f aca="false">"Listo · "&amp;COUNTIF('Sprint Backlog'!$H$10:$H$18,"Listo")&amp;IF(COUNTIF('Sprint Backlog'!$H$10:$H$18,"Listo")=1," historia · "," historias · ")&amp;SUMIFS('Sprint Backlog'!$F$10:$F$18,'Sprint Backlog'!$H$10:$H$18,"Listo")&amp;" h"</f>
        <v>Listo · 0 historias · 0 h</v>
      </c>
    </row>
    <row r="5" customFormat="false" ht="33.75" hidden="false" customHeight="true" outlineLevel="0" collapsed="false">
      <c r="A5" s="21" t="str">
        <f aca="false">IFERROR(INDEX('Sprint Backlog'!$P$10:$P$18,MATCH("Por hacer|"&amp;1,'Sprint Backlog'!$O$10:$O$18,0)),"")</f>
        <v>HU-11 · Pruebas de Identidad y contratos del sprint 2 · Bryan · 8 h</v>
      </c>
      <c r="B5" s="21" t="str">
        <f aca="false">IFERROR(INDEX('Sprint Backlog'!$P$10:$P$18,MATCH("En curso|"&amp;1,'Sprint Backlog'!$O$10:$O$18,0)),"")</f>
        <v/>
      </c>
      <c r="C5" s="21" t="str">
        <f aca="false">IFERROR(INDEX('Sprint Backlog'!$P$10:$P$18,MATCH("En revisión|"&amp;1,'Sprint Backlog'!$O$10:$O$18,0)),"")</f>
        <v/>
      </c>
      <c r="D5" s="21" t="str">
        <f aca="false">IFERROR(INDEX('Sprint Backlog'!$P$10:$P$18,MATCH("Listo|"&amp;1,'Sprint Backlog'!$O$10:$O$18,0)),"")</f>
        <v/>
      </c>
    </row>
    <row r="6" customFormat="false" ht="33.75" hidden="false" customHeight="true" outlineLevel="0" collapsed="false">
      <c r="A6" s="21" t="str">
        <f aca="false">IFERROR(INDEX('Sprint Backlog'!$P$10:$P$18,MATCH("Por hacer|"&amp;2,'Sprint Backlog'!$O$10:$O$18,0)),"")</f>
        <v>HU-10 · Perfil con carrera, nivel y sede · Bryan · 12 h</v>
      </c>
      <c r="B6" s="21" t="str">
        <f aca="false">IFERROR(INDEX('Sprint Backlog'!$P$10:$P$18,MATCH("En curso|"&amp;2,'Sprint Backlog'!$O$10:$O$18,0)),"")</f>
        <v/>
      </c>
      <c r="C6" s="21" t="str">
        <f aca="false">IFERROR(INDEX('Sprint Backlog'!$P$10:$P$18,MATCH("En revisión|"&amp;2,'Sprint Backlog'!$O$10:$O$18,0)),"")</f>
        <v/>
      </c>
      <c r="D6" s="21" t="str">
        <f aca="false">IFERROR(INDEX('Sprint Backlog'!$P$10:$P$18,MATCH("Listo|"&amp;2,'Sprint Backlog'!$O$10:$O$18,0)),"")</f>
        <v/>
      </c>
    </row>
    <row r="7" customFormat="false" ht="33.75" hidden="false" customHeight="true" outlineLevel="0" collapsed="false">
      <c r="A7" s="21" t="str">
        <f aca="false">IFERROR(INDEX('Sprint Backlog'!$P$10:$P$18,MATCH("Por hacer|"&amp;3,'Sprint Backlog'!$O$10:$O$18,0)),"")</f>
        <v>HU-12 · Carreras, sedes, asignaturas y mallas (API) · Francisco · 14 h</v>
      </c>
      <c r="B7" s="21" t="str">
        <f aca="false">IFERROR(INDEX('Sprint Backlog'!$P$10:$P$18,MATCH("En curso|"&amp;3,'Sprint Backlog'!$O$10:$O$18,0)),"")</f>
        <v/>
      </c>
      <c r="C7" s="21" t="str">
        <f aca="false">IFERROR(INDEX('Sprint Backlog'!$P$10:$P$18,MATCH("En revisión|"&amp;3,'Sprint Backlog'!$O$10:$O$18,0)),"")</f>
        <v/>
      </c>
      <c r="D7" s="21" t="str">
        <f aca="false">IFERROR(INDEX('Sprint Backlog'!$P$10:$P$18,MATCH("Listo|"&amp;3,'Sprint Backlog'!$O$10:$O$18,0)),"")</f>
        <v/>
      </c>
    </row>
    <row r="8" customFormat="false" ht="33.75" hidden="false" customHeight="true" outlineLevel="0" collapsed="false">
      <c r="A8" s="21" t="str">
        <f aca="false">IFERROR(INDEX('Sprint Backlog'!$P$10:$P$18,MATCH("Por hacer|"&amp;4,'Sprint Backlog'!$O$10:$O$18,0)),"")</f>
        <v>HU-14 · Declarar asignaturas con tarifa (RN-01) · Damaris · 14 h</v>
      </c>
      <c r="B8" s="21" t="str">
        <f aca="false">IFERROR(INDEX('Sprint Backlog'!$P$10:$P$18,MATCH("En curso|"&amp;4,'Sprint Backlog'!$O$10:$O$18,0)),"")</f>
        <v/>
      </c>
      <c r="C8" s="21" t="str">
        <f aca="false">IFERROR(INDEX('Sprint Backlog'!$P$10:$P$18,MATCH("En revisión|"&amp;4,'Sprint Backlog'!$O$10:$O$18,0)),"")</f>
        <v/>
      </c>
      <c r="D8" s="21" t="str">
        <f aca="false">IFERROR(INDEX('Sprint Backlog'!$P$10:$P$18,MATCH("Listo|"&amp;4,'Sprint Backlog'!$O$10:$O$18,0)),"")</f>
        <v/>
      </c>
    </row>
    <row r="9" customFormat="false" ht="33.75" hidden="false" customHeight="true" outlineLevel="0" collapsed="false">
      <c r="A9" s="21" t="str">
        <f aca="false">IFERROR(INDEX('Sprint Backlog'!$P$10:$P$18,MATCH("Por hacer|"&amp;5,'Sprint Backlog'!$O$10:$O$18,0)),"")</f>
        <v>HU-15 · Bloques de disponibilidad · Damaris · 12 h</v>
      </c>
      <c r="B9" s="21" t="str">
        <f aca="false">IFERROR(INDEX('Sprint Backlog'!$P$10:$P$18,MATCH("En curso|"&amp;5,'Sprint Backlog'!$O$10:$O$18,0)),"")</f>
        <v/>
      </c>
      <c r="C9" s="21" t="str">
        <f aca="false">IFERROR(INDEX('Sprint Backlog'!$P$10:$P$18,MATCH("En revisión|"&amp;5,'Sprint Backlog'!$O$10:$O$18,0)),"")</f>
        <v/>
      </c>
      <c r="D9" s="21" t="str">
        <f aca="false">IFERROR(INDEX('Sprint Backlog'!$P$10:$P$18,MATCH("Listo|"&amp;5,'Sprint Backlog'!$O$10:$O$18,0)),"")</f>
        <v/>
      </c>
    </row>
    <row r="10" customFormat="false" ht="33.75" hidden="false" customHeight="true" outlineLevel="0" collapsed="false">
      <c r="A10" s="21" t="str">
        <f aca="false">IFERROR(INDEX('Sprint Backlog'!$P$10:$P$18,MATCH("Por hacer|"&amp;6,'Sprint Backlog'!$O$10:$O$18,0)),"")</f>
        <v>HU-13 · Carga de 3 a 5 carreras · Francisco · 12 h</v>
      </c>
      <c r="B10" s="21" t="str">
        <f aca="false">IFERROR(INDEX('Sprint Backlog'!$P$10:$P$18,MATCH("En curso|"&amp;6,'Sprint Backlog'!$O$10:$O$18,0)),"")</f>
        <v/>
      </c>
      <c r="C10" s="21" t="str">
        <f aca="false">IFERROR(INDEX('Sprint Backlog'!$P$10:$P$18,MATCH("En revisión|"&amp;6,'Sprint Backlog'!$O$10:$O$18,0)),"")</f>
        <v/>
      </c>
      <c r="D10" s="21" t="str">
        <f aca="false">IFERROR(INDEX('Sprint Backlog'!$P$10:$P$18,MATCH("Listo|"&amp;6,'Sprint Backlog'!$O$10:$O$18,0)),"")</f>
        <v/>
      </c>
    </row>
    <row r="11" customFormat="false" ht="33.75" hidden="false" customHeight="true" outlineLevel="0" collapsed="false">
      <c r="A11" s="21" t="str">
        <f aca="false">IFERROR(INDEX('Sprint Backlog'!$P$10:$P$18,MATCH("Por hacer|"&amp;7,'Sprint Backlog'!$O$10:$O$18,0)),"")</f>
        <v>HU-19 · Sincronización de copias de lectura · Francisco · 10 h</v>
      </c>
      <c r="B11" s="21" t="str">
        <f aca="false">IFERROR(INDEX('Sprint Backlog'!$P$10:$P$18,MATCH("En curso|"&amp;7,'Sprint Backlog'!$O$10:$O$18,0)),"")</f>
        <v/>
      </c>
      <c r="C11" s="21" t="str">
        <f aca="false">IFERROR(INDEX('Sprint Backlog'!$P$10:$P$18,MATCH("En revisión|"&amp;7,'Sprint Backlog'!$O$10:$O$18,0)),"")</f>
        <v/>
      </c>
      <c r="D11" s="21" t="str">
        <f aca="false">IFERROR(INDEX('Sprint Backlog'!$P$10:$P$18,MATCH("Listo|"&amp;7,'Sprint Backlog'!$O$10:$O$18,0)),"")</f>
        <v/>
      </c>
    </row>
    <row r="12" customFormat="false" ht="33.75" hidden="false" customHeight="true" outlineLevel="0" collapsed="false">
      <c r="A12" s="21" t="str">
        <f aca="false">IFERROR(INDEX('Sprint Backlog'!$P$10:$P$18,MATCH("Por hacer|"&amp;8,'Sprint Backlog'!$O$10:$O$18,0)),"")</f>
        <v>HU-21 · Solicitar una tutoría · Damaris · 8 h</v>
      </c>
      <c r="B12" s="21" t="str">
        <f aca="false">IFERROR(INDEX('Sprint Backlog'!$P$10:$P$18,MATCH("En curso|"&amp;8,'Sprint Backlog'!$O$10:$O$18,0)),"")</f>
        <v/>
      </c>
      <c r="C12" s="21" t="str">
        <f aca="false">IFERROR(INDEX('Sprint Backlog'!$P$10:$P$18,MATCH("En revisión|"&amp;8,'Sprint Backlog'!$O$10:$O$18,0)),"")</f>
        <v/>
      </c>
      <c r="D12" s="21" t="str">
        <f aca="false">IFERROR(INDEX('Sprint Backlog'!$P$10:$P$18,MATCH("Listo|"&amp;8,'Sprint Backlog'!$O$10:$O$18,0)),"")</f>
        <v/>
      </c>
    </row>
    <row r="13" customFormat="false" ht="33.75" hidden="false" customHeight="true" outlineLevel="0" collapsed="false">
      <c r="A13" s="21" t="str">
        <f aca="false">IFERROR(INDEX('Sprint Backlog'!$P$10:$P$18,MATCH("Por hacer|"&amp;9,'Sprint Backlog'!$O$10:$O$18,0)),"")</f>
        <v>HU-16 · Avisos por correo · Bryan · 10 h</v>
      </c>
      <c r="B13" s="21" t="str">
        <f aca="false">IFERROR(INDEX('Sprint Backlog'!$P$10:$P$18,MATCH("En curso|"&amp;9,'Sprint Backlog'!$O$10:$O$18,0)),"")</f>
        <v/>
      </c>
      <c r="C13" s="21" t="str">
        <f aca="false">IFERROR(INDEX('Sprint Backlog'!$P$10:$P$18,MATCH("En revisión|"&amp;9,'Sprint Backlog'!$O$10:$O$18,0)),"")</f>
        <v/>
      </c>
      <c r="D13" s="21" t="str">
        <f aca="false">IFERROR(INDEX('Sprint Backlog'!$P$10:$P$18,MATCH("Listo|"&amp;9,'Sprint Backlog'!$O$10:$O$18,0)),"")</f>
        <v/>
      </c>
    </row>
    <row r="15" customFormat="false" ht="15" hidden="false" customHeight="true" outlineLevel="0" collapsed="false">
      <c r="A15" s="22" t="s">
        <v>73</v>
      </c>
      <c r="B15" s="22"/>
      <c r="C15" s="22"/>
      <c r="D15" s="22"/>
    </row>
    <row r="16" customFormat="false" ht="15" hidden="false" customHeight="false" outlineLevel="0" collapsed="false">
      <c r="A16" s="22"/>
      <c r="B16" s="22"/>
      <c r="C16" s="22"/>
      <c r="D16" s="22"/>
    </row>
  </sheetData>
  <mergeCells count="1">
    <mergeCell ref="A15:D16"/>
  </mergeCells>
  <conditionalFormatting sqref="A5:A13">
    <cfRule type="expression" priority="2" aboveAverage="0" equalAverage="0" bottom="0" percent="0" rank="0" text="" dxfId="3">
      <formula>LEN(A5)&gt;0</formula>
    </cfRule>
  </conditionalFormatting>
  <conditionalFormatting sqref="B5:B13">
    <cfRule type="expression" priority="3" aboveAverage="0" equalAverage="0" bottom="0" percent="0" rank="0" text="" dxfId="4">
      <formula>LEN(B5)&gt;0</formula>
    </cfRule>
  </conditionalFormatting>
  <conditionalFormatting sqref="C5:C13">
    <cfRule type="expression" priority="4" aboveAverage="0" equalAverage="0" bottom="0" percent="0" rank="0" text="" dxfId="5">
      <formula>LEN(C5)&gt;0</formula>
    </cfRule>
  </conditionalFormatting>
  <conditionalFormatting sqref="D5:D13">
    <cfRule type="expression" priority="5" aboveAverage="0" equalAverage="0" bottom="0" percent="0" rank="0" text="" dxfId="6">
      <formula>LEN(D5)&gt;0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4"/>
  </cols>
  <sheetData>
    <row r="1" customFormat="false" ht="17.3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4" customFormat="false" ht="23.85" hidden="false" customHeight="false" outlineLevel="0" collapsed="false">
      <c r="A4" s="3" t="s">
        <v>76</v>
      </c>
      <c r="B4" s="18" t="n">
        <f aca="false">'Sprint Backlog'!F19</f>
        <v>100</v>
      </c>
    </row>
    <row r="5" customFormat="false" ht="15" hidden="false" customHeight="false" outlineLevel="0" collapsed="false">
      <c r="A5" s="3" t="s">
        <v>77</v>
      </c>
      <c r="B5" s="18" t="n">
        <f aca="false">'Sprint Backlog'!E7-'Sprint Backlog'!C7+1</f>
        <v>14</v>
      </c>
    </row>
    <row r="6" customFormat="false" ht="15" hidden="false" customHeight="false" outlineLevel="0" collapsed="false">
      <c r="A6" s="3" t="s">
        <v>78</v>
      </c>
      <c r="B6" s="23" t="n">
        <f aca="false">IF('Sprint Backlog'!H7="",'Sprint Backlog'!C7-1,'Sprint Backlog'!H7)</f>
        <v>46299</v>
      </c>
    </row>
    <row r="8" customFormat="false" ht="23.85" hidden="false" customHeight="false" outlineLevel="0" collapsed="false">
      <c r="A8" s="9" t="s">
        <v>79</v>
      </c>
      <c r="B8" s="9" t="s">
        <v>80</v>
      </c>
      <c r="C8" s="9" t="s">
        <v>81</v>
      </c>
      <c r="D8" s="9" t="s">
        <v>82</v>
      </c>
      <c r="E8" s="9" t="s">
        <v>83</v>
      </c>
    </row>
    <row r="9" customFormat="false" ht="15" hidden="false" customHeight="false" outlineLevel="0" collapsed="false">
      <c r="A9" s="11" t="s">
        <v>8</v>
      </c>
      <c r="B9" s="4"/>
      <c r="C9" s="24" t="n">
        <f aca="false">$B$4</f>
        <v>100</v>
      </c>
      <c r="D9" s="25" t="n">
        <f aca="false">$B$4</f>
        <v>100</v>
      </c>
      <c r="E9" s="4"/>
    </row>
    <row r="10" customFormat="false" ht="15" hidden="false" customHeight="false" outlineLevel="0" collapsed="false">
      <c r="A10" s="26" t="str">
        <f aca="false">TEXT(B10,"dd-mm")</f>
        <v>05-10</v>
      </c>
      <c r="B10" s="27" t="n">
        <f aca="false">'Sprint Backlog'!$C$7+0</f>
        <v>46300</v>
      </c>
      <c r="C10" s="24" t="n">
        <f aca="false">$B$4*(1-1/$B$5)</f>
        <v>92.8571428571429</v>
      </c>
      <c r="D10" s="25" t="str">
        <f aca="false">IF(B10&lt;=$B$6,$B$4-SUMIFS('Sprint Backlog'!$F$10:$F$18,'Sprint Backlog'!$H$10:$H$18,"Listo",'Sprint Backlog'!$I$10:$I$18,"&lt;="&amp;B10),"")</f>
        <v/>
      </c>
      <c r="E10" s="25" t="str">
        <f aca="false">IF(D10="","",D9-D10)</f>
        <v/>
      </c>
    </row>
    <row r="11" customFormat="false" ht="15" hidden="false" customHeight="false" outlineLevel="0" collapsed="false">
      <c r="A11" s="26" t="str">
        <f aca="false">TEXT(B11,"dd-mm")</f>
        <v>06-10</v>
      </c>
      <c r="B11" s="27" t="n">
        <f aca="false">'Sprint Backlog'!$C$7+1</f>
        <v>46301</v>
      </c>
      <c r="C11" s="24" t="n">
        <f aca="false">$B$4*(1-2/$B$5)</f>
        <v>85.7142857142857</v>
      </c>
      <c r="D11" s="25" t="str">
        <f aca="false">IF(B11&lt;=$B$6,$B$4-SUMIFS('Sprint Backlog'!$F$10:$F$18,'Sprint Backlog'!$H$10:$H$18,"Listo",'Sprint Backlog'!$I$10:$I$18,"&lt;="&amp;B11),"")</f>
        <v/>
      </c>
      <c r="E11" s="25" t="str">
        <f aca="false">IF(D11="","",D10-D11)</f>
        <v/>
      </c>
    </row>
    <row r="12" customFormat="false" ht="15" hidden="false" customHeight="false" outlineLevel="0" collapsed="false">
      <c r="A12" s="26" t="str">
        <f aca="false">TEXT(B12,"dd-mm")</f>
        <v>07-10</v>
      </c>
      <c r="B12" s="27" t="n">
        <f aca="false">'Sprint Backlog'!$C$7+2</f>
        <v>46302</v>
      </c>
      <c r="C12" s="24" t="n">
        <f aca="false">$B$4*(1-3/$B$5)</f>
        <v>78.5714285714286</v>
      </c>
      <c r="D12" s="25" t="str">
        <f aca="false">IF(B12&lt;=$B$6,$B$4-SUMIFS('Sprint Backlog'!$F$10:$F$18,'Sprint Backlog'!$H$10:$H$18,"Listo",'Sprint Backlog'!$I$10:$I$18,"&lt;="&amp;B12),"")</f>
        <v/>
      </c>
      <c r="E12" s="25" t="str">
        <f aca="false">IF(D12="","",D11-D12)</f>
        <v/>
      </c>
    </row>
    <row r="13" customFormat="false" ht="15" hidden="false" customHeight="false" outlineLevel="0" collapsed="false">
      <c r="A13" s="26" t="str">
        <f aca="false">TEXT(B13,"dd-mm")</f>
        <v>08-10</v>
      </c>
      <c r="B13" s="27" t="n">
        <f aca="false">'Sprint Backlog'!$C$7+3</f>
        <v>46303</v>
      </c>
      <c r="C13" s="24" t="n">
        <f aca="false">$B$4*(1-4/$B$5)</f>
        <v>71.4285714285714</v>
      </c>
      <c r="D13" s="25" t="str">
        <f aca="false">IF(B13&lt;=$B$6,$B$4-SUMIFS('Sprint Backlog'!$F$10:$F$18,'Sprint Backlog'!$H$10:$H$18,"Listo",'Sprint Backlog'!$I$10:$I$18,"&lt;="&amp;B13),"")</f>
        <v/>
      </c>
      <c r="E13" s="25" t="str">
        <f aca="false">IF(D13="","",D12-D13)</f>
        <v/>
      </c>
    </row>
    <row r="14" customFormat="false" ht="15" hidden="false" customHeight="false" outlineLevel="0" collapsed="false">
      <c r="A14" s="26" t="str">
        <f aca="false">TEXT(B14,"dd-mm")</f>
        <v>09-10</v>
      </c>
      <c r="B14" s="27" t="n">
        <f aca="false">'Sprint Backlog'!$C$7+4</f>
        <v>46304</v>
      </c>
      <c r="C14" s="24" t="n">
        <f aca="false">$B$4*(1-5/$B$5)</f>
        <v>64.2857142857143</v>
      </c>
      <c r="D14" s="25" t="str">
        <f aca="false">IF(B14&lt;=$B$6,$B$4-SUMIFS('Sprint Backlog'!$F$10:$F$18,'Sprint Backlog'!$H$10:$H$18,"Listo",'Sprint Backlog'!$I$10:$I$18,"&lt;="&amp;B14),"")</f>
        <v/>
      </c>
      <c r="E14" s="25" t="str">
        <f aca="false">IF(D14="","",D13-D14)</f>
        <v/>
      </c>
    </row>
    <row r="15" customFormat="false" ht="15" hidden="false" customHeight="false" outlineLevel="0" collapsed="false">
      <c r="A15" s="26" t="str">
        <f aca="false">TEXT(B15,"dd-mm")</f>
        <v>10-10</v>
      </c>
      <c r="B15" s="27" t="n">
        <f aca="false">'Sprint Backlog'!$C$7+5</f>
        <v>46305</v>
      </c>
      <c r="C15" s="24" t="n">
        <f aca="false">$B$4*(1-6/$B$5)</f>
        <v>57.1428571428571</v>
      </c>
      <c r="D15" s="25" t="str">
        <f aca="false">IF(B15&lt;=$B$6,$B$4-SUMIFS('Sprint Backlog'!$F$10:$F$18,'Sprint Backlog'!$H$10:$H$18,"Listo",'Sprint Backlog'!$I$10:$I$18,"&lt;="&amp;B15),"")</f>
        <v/>
      </c>
      <c r="E15" s="25" t="str">
        <f aca="false">IF(D15="","",D14-D15)</f>
        <v/>
      </c>
    </row>
    <row r="16" customFormat="false" ht="15" hidden="false" customHeight="false" outlineLevel="0" collapsed="false">
      <c r="A16" s="26" t="str">
        <f aca="false">TEXT(B16,"dd-mm")</f>
        <v>11-10</v>
      </c>
      <c r="B16" s="27" t="n">
        <f aca="false">'Sprint Backlog'!$C$7+6</f>
        <v>46306</v>
      </c>
      <c r="C16" s="24" t="n">
        <f aca="false">$B$4*(1-7/$B$5)</f>
        <v>50</v>
      </c>
      <c r="D16" s="25" t="str">
        <f aca="false">IF(B16&lt;=$B$6,$B$4-SUMIFS('Sprint Backlog'!$F$10:$F$18,'Sprint Backlog'!$H$10:$H$18,"Listo",'Sprint Backlog'!$I$10:$I$18,"&lt;="&amp;B16),"")</f>
        <v/>
      </c>
      <c r="E16" s="25" t="str">
        <f aca="false">IF(D16="","",D15-D16)</f>
        <v/>
      </c>
    </row>
    <row r="17" customFormat="false" ht="15" hidden="false" customHeight="false" outlineLevel="0" collapsed="false">
      <c r="A17" s="26" t="str">
        <f aca="false">TEXT(B17,"dd-mm")</f>
        <v>12-10</v>
      </c>
      <c r="B17" s="27" t="n">
        <f aca="false">'Sprint Backlog'!$C$7+7</f>
        <v>46307</v>
      </c>
      <c r="C17" s="24" t="n">
        <f aca="false">$B$4*(1-8/$B$5)</f>
        <v>42.8571428571429</v>
      </c>
      <c r="D17" s="25" t="str">
        <f aca="false">IF(B17&lt;=$B$6,$B$4-SUMIFS('Sprint Backlog'!$F$10:$F$18,'Sprint Backlog'!$H$10:$H$18,"Listo",'Sprint Backlog'!$I$10:$I$18,"&lt;="&amp;B17),"")</f>
        <v/>
      </c>
      <c r="E17" s="25" t="str">
        <f aca="false">IF(D17="","",D16-D17)</f>
        <v/>
      </c>
    </row>
    <row r="18" customFormat="false" ht="15" hidden="false" customHeight="false" outlineLevel="0" collapsed="false">
      <c r="A18" s="26" t="str">
        <f aca="false">TEXT(B18,"dd-mm")</f>
        <v>13-10</v>
      </c>
      <c r="B18" s="27" t="n">
        <f aca="false">'Sprint Backlog'!$C$7+8</f>
        <v>46308</v>
      </c>
      <c r="C18" s="24" t="n">
        <f aca="false">$B$4*(1-9/$B$5)</f>
        <v>35.7142857142857</v>
      </c>
      <c r="D18" s="25" t="str">
        <f aca="false">IF(B18&lt;=$B$6,$B$4-SUMIFS('Sprint Backlog'!$F$10:$F$18,'Sprint Backlog'!$H$10:$H$18,"Listo",'Sprint Backlog'!$I$10:$I$18,"&lt;="&amp;B18),"")</f>
        <v/>
      </c>
      <c r="E18" s="25" t="str">
        <f aca="false">IF(D18="","",D17-D18)</f>
        <v/>
      </c>
    </row>
    <row r="19" customFormat="false" ht="15" hidden="false" customHeight="false" outlineLevel="0" collapsed="false">
      <c r="A19" s="26" t="str">
        <f aca="false">TEXT(B19,"dd-mm")</f>
        <v>14-10</v>
      </c>
      <c r="B19" s="27" t="n">
        <f aca="false">'Sprint Backlog'!$C$7+9</f>
        <v>46309</v>
      </c>
      <c r="C19" s="24" t="n">
        <f aca="false">$B$4*(1-10/$B$5)</f>
        <v>28.5714285714286</v>
      </c>
      <c r="D19" s="25" t="str">
        <f aca="false">IF(B19&lt;=$B$6,$B$4-SUMIFS('Sprint Backlog'!$F$10:$F$18,'Sprint Backlog'!$H$10:$H$18,"Listo",'Sprint Backlog'!$I$10:$I$18,"&lt;="&amp;B19),"")</f>
        <v/>
      </c>
      <c r="E19" s="25" t="str">
        <f aca="false">IF(D19="","",D18-D19)</f>
        <v/>
      </c>
    </row>
    <row r="20" customFormat="false" ht="15" hidden="false" customHeight="false" outlineLevel="0" collapsed="false">
      <c r="A20" s="26" t="str">
        <f aca="false">TEXT(B20,"dd-mm")</f>
        <v>15-10</v>
      </c>
      <c r="B20" s="27" t="n">
        <f aca="false">'Sprint Backlog'!$C$7+10</f>
        <v>46310</v>
      </c>
      <c r="C20" s="24" t="n">
        <f aca="false">$B$4*(1-11/$B$5)</f>
        <v>21.4285714285714</v>
      </c>
      <c r="D20" s="25" t="str">
        <f aca="false">IF(B20&lt;=$B$6,$B$4-SUMIFS('Sprint Backlog'!$F$10:$F$18,'Sprint Backlog'!$H$10:$H$18,"Listo",'Sprint Backlog'!$I$10:$I$18,"&lt;="&amp;B20),"")</f>
        <v/>
      </c>
      <c r="E20" s="25" t="str">
        <f aca="false">IF(D20="","",D19-D20)</f>
        <v/>
      </c>
    </row>
    <row r="21" customFormat="false" ht="15" hidden="false" customHeight="false" outlineLevel="0" collapsed="false">
      <c r="A21" s="26" t="str">
        <f aca="false">TEXT(B21,"dd-mm")</f>
        <v>16-10</v>
      </c>
      <c r="B21" s="27" t="n">
        <f aca="false">'Sprint Backlog'!$C$7+11</f>
        <v>46311</v>
      </c>
      <c r="C21" s="24" t="n">
        <f aca="false">$B$4*(1-12/$B$5)</f>
        <v>14.2857142857143</v>
      </c>
      <c r="D21" s="25" t="str">
        <f aca="false">IF(B21&lt;=$B$6,$B$4-SUMIFS('Sprint Backlog'!$F$10:$F$18,'Sprint Backlog'!$H$10:$H$18,"Listo",'Sprint Backlog'!$I$10:$I$18,"&lt;="&amp;B21),"")</f>
        <v/>
      </c>
      <c r="E21" s="25" t="str">
        <f aca="false">IF(D21="","",D20-D21)</f>
        <v/>
      </c>
    </row>
    <row r="22" customFormat="false" ht="15" hidden="false" customHeight="false" outlineLevel="0" collapsed="false">
      <c r="A22" s="26" t="str">
        <f aca="false">TEXT(B22,"dd-mm")</f>
        <v>17-10</v>
      </c>
      <c r="B22" s="27" t="n">
        <f aca="false">'Sprint Backlog'!$C$7+12</f>
        <v>46312</v>
      </c>
      <c r="C22" s="24" t="n">
        <f aca="false">$B$4*(1-13/$B$5)</f>
        <v>7.14285714285714</v>
      </c>
      <c r="D22" s="25" t="str">
        <f aca="false">IF(B22&lt;=$B$6,$B$4-SUMIFS('Sprint Backlog'!$F$10:$F$18,'Sprint Backlog'!$H$10:$H$18,"Listo",'Sprint Backlog'!$I$10:$I$18,"&lt;="&amp;B22),"")</f>
        <v/>
      </c>
      <c r="E22" s="25" t="str">
        <f aca="false">IF(D22="","",D21-D22)</f>
        <v/>
      </c>
    </row>
    <row r="23" customFormat="false" ht="15" hidden="false" customHeight="false" outlineLevel="0" collapsed="false">
      <c r="A23" s="26" t="str">
        <f aca="false">TEXT(B23,"dd-mm")</f>
        <v>18-10</v>
      </c>
      <c r="B23" s="27" t="n">
        <f aca="false">'Sprint Backlog'!$C$7+13</f>
        <v>46313</v>
      </c>
      <c r="C23" s="24" t="n">
        <f aca="false">$B$4*(1-14/$B$5)</f>
        <v>0</v>
      </c>
      <c r="D23" s="25" t="str">
        <f aca="false">IF(B23&lt;=$B$6,$B$4-SUMIFS('Sprint Backlog'!$F$10:$F$18,'Sprint Backlog'!$H$10:$H$18,"Listo",'Sprint Backlog'!$I$10:$I$18,"&lt;="&amp;B23),"")</f>
        <v/>
      </c>
      <c r="E23" s="25" t="str">
        <f aca="false">IF(D23="","",D22-D23)</f>
        <v/>
      </c>
    </row>
    <row r="25" customFormat="false" ht="15" hidden="false" customHeight="true" outlineLevel="0" collapsed="false">
      <c r="A25" s="22" t="s">
        <v>84</v>
      </c>
      <c r="B25" s="22"/>
      <c r="C25" s="22"/>
      <c r="D25" s="22"/>
      <c r="E25" s="22"/>
    </row>
    <row r="26" customFormat="false" ht="15" hidden="false" customHeight="false" outlineLevel="0" collapsed="false">
      <c r="A26" s="22"/>
      <c r="B26" s="22"/>
      <c r="C26" s="22"/>
      <c r="D26" s="22"/>
      <c r="E26" s="22"/>
    </row>
    <row r="27" customFormat="false" ht="15" hidden="false" customHeight="false" outlineLevel="0" collapsed="false">
      <c r="A27" s="22"/>
      <c r="B27" s="22"/>
      <c r="C27" s="22"/>
      <c r="D27" s="22"/>
      <c r="E27" s="22"/>
    </row>
  </sheetData>
  <mergeCells count="1">
    <mergeCell ref="A25:E2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30" hidden="false" customHeight="true" outlineLevel="0" collapsed="false">
      <c r="A4" s="9" t="s">
        <v>87</v>
      </c>
      <c r="B4" s="9" t="s">
        <v>88</v>
      </c>
      <c r="C4" s="9" t="s">
        <v>89</v>
      </c>
      <c r="D4" s="9" t="s">
        <v>90</v>
      </c>
      <c r="E4" s="9" t="s">
        <v>91</v>
      </c>
      <c r="F4" s="9" t="s">
        <v>92</v>
      </c>
      <c r="G4" s="9" t="s">
        <v>68</v>
      </c>
      <c r="H4" s="9" t="s">
        <v>93</v>
      </c>
    </row>
    <row r="5" customFormat="false" ht="15" hidden="false" customHeight="false" outlineLevel="0" collapsed="false">
      <c r="A5" s="3" t="s">
        <v>94</v>
      </c>
      <c r="B5" s="28"/>
      <c r="C5" s="28"/>
      <c r="D5" s="29" t="n">
        <v>29.5</v>
      </c>
      <c r="E5" s="25" t="n">
        <f aca="false">SUMIFS('Sprint Backlog'!$F$10:$F$18,'Sprint Backlog'!$D$10:$D$18,"Bryan")</f>
        <v>30</v>
      </c>
      <c r="F5" s="25" t="n">
        <f aca="false">SUMIFS('Sprint Backlog'!$F$10:$F$18,'Sprint Backlog'!$D$10:$D$18,"Bryan",'Sprint Backlog'!$H$10:$H$18,"Listo")</f>
        <v>0</v>
      </c>
      <c r="G5" s="30" t="n">
        <f aca="false">IF(E5=0,0,F5/E5)</f>
        <v>0</v>
      </c>
      <c r="H5" s="31"/>
    </row>
    <row r="6" customFormat="false" ht="15" hidden="false" customHeight="false" outlineLevel="0" collapsed="false">
      <c r="A6" s="3" t="s">
        <v>95</v>
      </c>
      <c r="B6" s="28"/>
      <c r="C6" s="28"/>
      <c r="D6" s="29" t="n">
        <v>37.5</v>
      </c>
      <c r="E6" s="25" t="n">
        <f aca="false">SUMIFS('Sprint Backlog'!$F$10:$F$18,'Sprint Backlog'!$D$10:$D$18,"Francisco")</f>
        <v>36</v>
      </c>
      <c r="F6" s="25" t="n">
        <f aca="false">SUMIFS('Sprint Backlog'!$F$10:$F$18,'Sprint Backlog'!$D$10:$D$18,"Francisco",'Sprint Backlog'!$H$10:$H$18,"Listo")</f>
        <v>0</v>
      </c>
      <c r="G6" s="30" t="n">
        <f aca="false">IF(E6=0,0,F6/E6)</f>
        <v>0</v>
      </c>
      <c r="H6" s="31"/>
    </row>
    <row r="7" customFormat="false" ht="15" hidden="false" customHeight="false" outlineLevel="0" collapsed="false">
      <c r="A7" s="3" t="s">
        <v>96</v>
      </c>
      <c r="B7" s="28"/>
      <c r="C7" s="28"/>
      <c r="D7" s="29" t="n">
        <v>37.5</v>
      </c>
      <c r="E7" s="25" t="n">
        <f aca="false">SUMIFS('Sprint Backlog'!$F$10:$F$18,'Sprint Backlog'!$D$10:$D$18,"Damaris")</f>
        <v>34</v>
      </c>
      <c r="F7" s="25" t="n">
        <f aca="false">SUMIFS('Sprint Backlog'!$F$10:$F$18,'Sprint Backlog'!$D$10:$D$18,"Damaris",'Sprint Backlog'!$H$10:$H$18,"Listo")</f>
        <v>0</v>
      </c>
      <c r="G7" s="30" t="n">
        <f aca="false">IF(E7=0,0,F7/E7)</f>
        <v>0</v>
      </c>
      <c r="H7" s="31"/>
    </row>
    <row r="8" customFormat="false" ht="15" hidden="false" customHeight="false" outlineLevel="0" collapsed="false">
      <c r="A8" s="3" t="s">
        <v>97</v>
      </c>
      <c r="B8" s="18" t="n">
        <f aca="false">SUM(B5:B7)</f>
        <v>0</v>
      </c>
      <c r="C8" s="18" t="n">
        <f aca="false">SUM(C5:C7)</f>
        <v>0</v>
      </c>
      <c r="D8" s="32" t="n">
        <f aca="false">SUM(D5:D7)</f>
        <v>104.5</v>
      </c>
      <c r="E8" s="18" t="n">
        <f aca="false">SUM(E5:E7)</f>
        <v>100</v>
      </c>
      <c r="F8" s="18" t="n">
        <f aca="false">SUM(F5:F7)</f>
        <v>0</v>
      </c>
      <c r="G8" s="19" t="n">
        <f aca="false">IF(E8=0,0,F8/E8)</f>
        <v>0</v>
      </c>
    </row>
    <row r="10" customFormat="false" ht="27.75" hidden="false" customHeight="true" outlineLevel="0" collapsed="false">
      <c r="A10" s="22" t="s">
        <v>98</v>
      </c>
      <c r="B10" s="22"/>
      <c r="C10" s="22"/>
      <c r="D10" s="22"/>
      <c r="E10" s="22"/>
      <c r="F10" s="22"/>
      <c r="G10" s="22"/>
      <c r="H10" s="22"/>
    </row>
    <row r="11" customFormat="false" ht="15" hidden="false" customHeight="false" outlineLevel="0" collapsed="false">
      <c r="A11" s="22"/>
      <c r="B11" s="22"/>
      <c r="C11" s="22"/>
      <c r="D11" s="22"/>
      <c r="E11" s="22"/>
      <c r="F11" s="22"/>
      <c r="G11" s="22"/>
      <c r="H11" s="22"/>
    </row>
    <row r="13" customFormat="false" ht="15" hidden="false" customHeight="false" outlineLevel="0" collapsed="false">
      <c r="A13" s="8" t="s">
        <v>99</v>
      </c>
    </row>
  </sheetData>
  <mergeCells count="1">
    <mergeCell ref="A10:H1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100</v>
      </c>
    </row>
    <row r="3" customFormat="false" ht="15" hidden="false" customHeight="false" outlineLevel="0" collapsed="false">
      <c r="A3" s="33" t="s">
        <v>101</v>
      </c>
    </row>
    <row r="4" customFormat="false" ht="29.25" hidden="false" customHeight="true" outlineLevel="0" collapsed="false">
      <c r="A4" s="3" t="s">
        <v>102</v>
      </c>
      <c r="B4" s="4" t="s">
        <v>103</v>
      </c>
    </row>
    <row r="5" customFormat="false" ht="15.75" hidden="false" customHeight="true" outlineLevel="0" collapsed="false">
      <c r="A5" s="3" t="s">
        <v>104</v>
      </c>
      <c r="B5" s="4" t="s">
        <v>105</v>
      </c>
    </row>
    <row r="6" customFormat="false" ht="15.75" hidden="false" customHeight="true" outlineLevel="0" collapsed="false">
      <c r="A6" s="3" t="s">
        <v>106</v>
      </c>
      <c r="B6" s="4" t="s">
        <v>107</v>
      </c>
    </row>
    <row r="7" customFormat="false" ht="29.25" hidden="false" customHeight="true" outlineLevel="0" collapsed="false">
      <c r="A7" s="3" t="s">
        <v>108</v>
      </c>
      <c r="B7" s="4" t="s">
        <v>109</v>
      </c>
    </row>
    <row r="8" customFormat="false" ht="29.25" hidden="false" customHeight="true" outlineLevel="0" collapsed="false">
      <c r="A8" s="3" t="s">
        <v>110</v>
      </c>
      <c r="B8" s="4" t="s">
        <v>111</v>
      </c>
    </row>
    <row r="10" customFormat="false" ht="15" hidden="false" customHeight="false" outlineLevel="0" collapsed="false">
      <c r="A10" s="33" t="s">
        <v>112</v>
      </c>
    </row>
    <row r="11" customFormat="false" ht="42" hidden="false" customHeight="true" outlineLevel="0" collapsed="false">
      <c r="A11" s="3" t="s">
        <v>113</v>
      </c>
      <c r="B11" s="4" t="s">
        <v>114</v>
      </c>
    </row>
    <row r="13" customFormat="false" ht="15" hidden="false" customHeight="false" outlineLevel="0" collapsed="false">
      <c r="A13" s="33" t="s">
        <v>115</v>
      </c>
    </row>
    <row r="14" customFormat="false" ht="15.75" hidden="false" customHeight="true" outlineLevel="0" collapsed="false">
      <c r="A14" s="3" t="s">
        <v>116</v>
      </c>
      <c r="B14" s="4" t="s">
        <v>117</v>
      </c>
    </row>
    <row r="15" customFormat="false" ht="15.75" hidden="false" customHeight="true" outlineLevel="0" collapsed="false">
      <c r="A15" s="3" t="s">
        <v>118</v>
      </c>
      <c r="B15" s="4" t="s">
        <v>119</v>
      </c>
    </row>
    <row r="16" customFormat="false" ht="15.75" hidden="false" customHeight="true" outlineLevel="0" collapsed="false">
      <c r="A16" s="3" t="s">
        <v>120</v>
      </c>
      <c r="B16" s="4" t="s">
        <v>121</v>
      </c>
    </row>
    <row r="17" customFormat="false" ht="15.75" hidden="false" customHeight="true" outlineLevel="0" collapsed="false">
      <c r="A17" s="3" t="s">
        <v>122</v>
      </c>
      <c r="B17" s="4" t="s">
        <v>123</v>
      </c>
    </row>
    <row r="18" customFormat="false" ht="15.75" hidden="false" customHeight="true" outlineLevel="0" collapsed="false">
      <c r="A18" s="3" t="s">
        <v>124</v>
      </c>
      <c r="B18" s="4" t="s">
        <v>119</v>
      </c>
    </row>
    <row r="19" customFormat="false" ht="15.75" hidden="false" customHeight="true" outlineLevel="0" collapsed="false">
      <c r="A19" s="3" t="s">
        <v>125</v>
      </c>
      <c r="B19" s="4" t="s">
        <v>121</v>
      </c>
    </row>
    <row r="20" customFormat="false" ht="15.75" hidden="false" customHeight="true" outlineLevel="0" collapsed="false">
      <c r="A20" s="3" t="s">
        <v>126</v>
      </c>
      <c r="B20" s="4" t="s">
        <v>127</v>
      </c>
    </row>
    <row r="22" customFormat="false" ht="15" hidden="false" customHeight="false" outlineLevel="0" collapsed="false">
      <c r="A22" s="33" t="s">
        <v>128</v>
      </c>
    </row>
    <row r="23" customFormat="false" ht="15.75" hidden="false" customHeight="true" outlineLevel="0" collapsed="false">
      <c r="A23" s="3" t="s">
        <v>129</v>
      </c>
      <c r="B23" s="4" t="s">
        <v>130</v>
      </c>
    </row>
    <row r="24" customFormat="false" ht="15.75" hidden="false" customHeight="true" outlineLevel="0" collapsed="false">
      <c r="A24" s="3" t="s">
        <v>131</v>
      </c>
      <c r="B24" s="4" t="s">
        <v>132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2026-09-27T18:57:12Z</dcterms:created>
  <dc:creator>openpyxl</dc:creator>
  <dc:description/>
  <dc:language>en-US</dc:language>
  <cp:lastModifiedBy/>
  <dcterms:modified xsi:type="dcterms:W3CDTF">2026-09-27T15:57:17Z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