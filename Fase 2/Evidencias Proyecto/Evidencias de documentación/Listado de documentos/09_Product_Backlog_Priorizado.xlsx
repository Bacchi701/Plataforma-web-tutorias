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Resumen" sheetId="2" state="visible" r:id="rId4"/>
    <sheet name="Leyenda" sheetId="3" state="visible" r:id="rId5"/>
  </sheets>
  <definedNames>
    <definedName function="false" hidden="false" localSheetId="0" name="_xlnm.Print_Titles" vbProcedure="false">'Product Backlog'!$5:$5</definedName>
    <definedName function="false" hidden="true" localSheetId="0" name="_xlnm._FilterDatabase" vbProcedure="false">'Product Backlog'!$A$5:$P$42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Horas estimadas del Pilar 4 v1.6. En azul: valores escritos a mano.</t>
        </r>
      </text>
    </comment>
  </commentList>
</comments>
</file>

<file path=xl/sharedStrings.xml><?xml version="1.0" encoding="utf-8"?>
<sst xmlns="http://schemas.openxmlformats.org/spreadsheetml/2006/main" count="687" uniqueCount="326">
  <si>
    <t xml:space="preserve">Product Backlog priorizado · Plataforma de Tutorías entre Estudiantes</t>
  </si>
  <si>
    <t xml:space="preserve">Orden de prioridad propuesto el 27-09-2026 · horas y requisitos del Pilar 4 v1.6 · sprints y dueños de la replanificación del 25-09, a acordar con el equipo</t>
  </si>
  <si>
    <t xml:space="preserve">Horas del backlog</t>
  </si>
  <si>
    <t xml:space="preserve">Horas listas</t>
  </si>
  <si>
    <t xml:space="preserve">Avance (horas listas / horas del backlog)</t>
  </si>
  <si>
    <t xml:space="preserve">Prioridad</t>
  </si>
  <si>
    <t xml:space="preserve">ID</t>
  </si>
  <si>
    <t xml:space="preserve">Historia</t>
  </si>
  <si>
    <t xml:space="preserve">Historia de usuario</t>
  </si>
  <si>
    <t xml:space="preserve">Tipo</t>
  </si>
  <si>
    <t xml:space="preserve">Épica</t>
  </si>
  <si>
    <t xml:space="preserve">Requisito</t>
  </si>
  <si>
    <t xml:space="preserve">MoSCoW</t>
  </si>
  <si>
    <t xml:space="preserve">Dueño</t>
  </si>
  <si>
    <t xml:space="preserve">Horas</t>
  </si>
  <si>
    <t xml:space="preserve">Sprint</t>
  </si>
  <si>
    <t xml:space="preserve">Estado</t>
  </si>
  <si>
    <t xml:space="preserve">Fecha Listo</t>
  </si>
  <si>
    <t xml:space="preserve">Depende de</t>
  </si>
  <si>
    <t xml:space="preserve">Criterios del MVP</t>
  </si>
  <si>
    <t xml:space="preserve">Notas</t>
  </si>
  <si>
    <t xml:space="preserve">HU-01</t>
  </si>
  <si>
    <t xml:space="preserve">Sistema levantable con un comando</t>
  </si>
  <si>
    <t xml:space="preserve">Como equipo de desarrollo, queremos levantar el sistema completo con un solo comando, para que cualquiera pueda clonar el repositorio y trabajar sobre la misma base.</t>
  </si>
  <si>
    <t xml:space="preserve">Técnica</t>
  </si>
  <si>
    <t xml:space="preserve">EP-01 · Infraestructura</t>
  </si>
  <si>
    <t xml:space="preserve">RNF-05</t>
  </si>
  <si>
    <t xml:space="preserve">Must</t>
  </si>
  <si>
    <t xml:space="preserve">Bryan</t>
  </si>
  <si>
    <t xml:space="preserve">Cimientos</t>
  </si>
  <si>
    <t xml:space="preserve">Listo</t>
  </si>
  <si>
    <t xml:space="preserve">—</t>
  </si>
  <si>
    <t xml:space="preserve">CA8</t>
  </si>
  <si>
    <t xml:space="preserve">Se fusionó el 21-09, primer día del sprint 1: se activó el disparador de R-02 y la respuesta prevista funcionó.</t>
  </si>
  <si>
    <t xml:space="preserve">HU-02</t>
  </si>
  <si>
    <t xml:space="preserve">Correo de desarrollo (Mailpit)</t>
  </si>
  <si>
    <t xml:space="preserve">Como equipo de desarrollo, queremos un servidor de correo de desarrollo dentro de la composición, para probar la verificación de cuentas y los avisos sin enviar correos a personas reales.</t>
  </si>
  <si>
    <t xml:space="preserve">AD-11</t>
  </si>
  <si>
    <t xml:space="preserve">Sprint 1</t>
  </si>
  <si>
    <t xml:space="preserve">CA1</t>
  </si>
  <si>
    <t xml:space="preserve">La prueba con una casilla real (supuesto S-02) sigue pendiente y vence el 04-10.</t>
  </si>
  <si>
    <t xml:space="preserve">HU-03</t>
  </si>
  <si>
    <t xml:space="preserve">Contrato OpenAPI de Identidad</t>
  </si>
  <si>
    <t xml:space="preserve">Como equipo de desarrollo, queremos el contrato OpenAPI de Identidad escrito y congelado al inicio del sprint, para que las pantallas y el servicio se construyan en paralelo contra la misma especificación.</t>
  </si>
  <si>
    <t xml:space="preserve">EP-09 · Calidad</t>
  </si>
  <si>
    <t xml:space="preserve">Pilar 2 §4</t>
  </si>
  <si>
    <t xml:space="preserve">Por hacer</t>
  </si>
  <si>
    <t xml:space="preserve">La carta Gantt la ubica el 23 y 24-09; al 27-09 no hay contrato en docs/api.
Desde el 25-09 congela solo Identidad: en el sprint 1 nadie usa endpoints de Catálogo ni de Tutorías (Pilar 4, registro de decisiones).</t>
  </si>
  <si>
    <t xml:space="preserve">HU-04</t>
  </si>
  <si>
    <t xml:space="preserve">Registro y verificación del correo</t>
  </si>
  <si>
    <t xml:space="preserve">Como estudiante de Duoc UC, quiero registrarme con mi correo institucional y verificarlo desde el correo que recibo, para tener mi cuenta en la plataforma.</t>
  </si>
  <si>
    <t xml:space="preserve">Usuario</t>
  </si>
  <si>
    <t xml:space="preserve">EP-02 · Identidad y acceso</t>
  </si>
  <si>
    <t xml:space="preserve">RF-01</t>
  </si>
  <si>
    <t xml:space="preserve">HU-02, HU-03</t>
  </si>
  <si>
    <t xml:space="preserve">HU-05</t>
  </si>
  <si>
    <t xml:space="preserve">Inicio, renovación y cierre de sesión</t>
  </si>
  <si>
    <t xml:space="preserve">Como usuario verificado, quiero iniciar sesión, mantenerla activa y cerrarla, para usar la plataforma de forma segura.</t>
  </si>
  <si>
    <t xml:space="preserve">HU-03, HU-04</t>
  </si>
  <si>
    <t xml:space="preserve">HU-06</t>
  </si>
  <si>
    <t xml:space="preserve">Base del frontend</t>
  </si>
  <si>
    <t xml:space="preserve">Como equipo de desarrollo, queremos la base del frontend en React con rutas, un cliente HTTP y una disposición común, para que cada dueño construya sus pantallas sobre la misma estructura.</t>
  </si>
  <si>
    <t xml:space="preserve">AD-12</t>
  </si>
  <si>
    <t xml:space="preserve">Francisco</t>
  </si>
  <si>
    <t xml:space="preserve">HU-01, HU-03</t>
  </si>
  <si>
    <t xml:space="preserve">Tiene 14 h: al planificar se parte en dos ramas con un punto de integración intermedio (Pilar 4 §6).</t>
  </si>
  <si>
    <t xml:space="preserve">HU-09</t>
  </si>
  <si>
    <t xml:space="preserve">Pantallas de registro e inicio de sesión</t>
  </si>
  <si>
    <t xml:space="preserve">Como estudiante, quiero pantallas de registro e inicio de sesión simples y conectadas, para crear mi cuenta y entrar sin pasos innecesarios.</t>
  </si>
  <si>
    <t xml:space="preserve">Damaris</t>
  </si>
  <si>
    <t xml:space="preserve">HU-03, HU-06</t>
  </si>
  <si>
    <t xml:space="preserve">Corrige las maquetas de la semana de planificación (Pilar 3 §13): pedían RUT, tipo de cuenta, carrera, sede y semestre, y validaban la contraseña con seis caracteres.</t>
  </si>
  <si>
    <t xml:space="preserve">HU-08</t>
  </si>
  <si>
    <t xml:space="preserve">Modelo de Tutorías y perfiles de tutor</t>
  </si>
  <si>
    <t xml:space="preserve">Como equipo de desarrollo, queremos el modelo de datos de Tutorías y los perfiles de tutor en el backend, para construir encima la declaración de asignaturas y la disponibilidad.</t>
  </si>
  <si>
    <t xml:space="preserve">EP-04 · Perfil de tutor y disponibilidad</t>
  </si>
  <si>
    <t xml:space="preserve">RF-03</t>
  </si>
  <si>
    <t xml:space="preserve">CA2</t>
  </si>
  <si>
    <t xml:space="preserve">HU-07</t>
  </si>
  <si>
    <t xml:space="preserve">Modelo del catálogo y carga desde CSV</t>
  </si>
  <si>
    <t xml:space="preserve">Como equipo de desarrollo, queremos el modelo del catálogo académico y un script de carga desde archivos CSV, para programar contra datos académicos reales desde el primer sprint.</t>
  </si>
  <si>
    <t xml:space="preserve">EP-03 · Catálogo académico</t>
  </si>
  <si>
    <t xml:space="preserve">RF-04</t>
  </si>
  <si>
    <t xml:space="preserve">HU-11</t>
  </si>
  <si>
    <t xml:space="preserve">Pruebas de Identidad y contratos del sprint 2</t>
  </si>
  <si>
    <t xml:space="preserve">Como equipo de desarrollo, queremos pruebas automatizadas de Identidad y los contratos del sprint 2 congelados, para proteger el registro y la sesión y trabajar en paralelo con Catálogo y Tutorías.</t>
  </si>
  <si>
    <t xml:space="preserve">RNF-06</t>
  </si>
  <si>
    <t xml:space="preserve">Sprint 2</t>
  </si>
  <si>
    <t xml:space="preserve">HU-04, HU-05</t>
  </si>
  <si>
    <t xml:space="preserve">CA1 · CA2</t>
  </si>
  <si>
    <t xml:space="preserve">Se parte en dos: los contratos el primer día del sprint y las pruebas en la segunda semana.
Los contratos se escriben antes del 05-10, idealmente en la planificación del 04-10: nada se construye contra un contrato no escrito (A9).</t>
  </si>
  <si>
    <t xml:space="preserve">HU-10</t>
  </si>
  <si>
    <t xml:space="preserve">Perfil con carrera, nivel y sede</t>
  </si>
  <si>
    <t xml:space="preserve">Como usuario, quiero completar y editar mi perfil con carrera, nivel y sede, para poder ofrecer tutorías y que otros sepan dónde estudio.</t>
  </si>
  <si>
    <t xml:space="preserve">RF-02</t>
  </si>
  <si>
    <t xml:space="preserve">HU-05, HU-12</t>
  </si>
  <si>
    <t xml:space="preserve">HU-12</t>
  </si>
  <si>
    <t xml:space="preserve">Carreras, sedes, asignaturas y mallas (API)</t>
  </si>
  <si>
    <t xml:space="preserve">Como estudiante, quiero buscar asignaturas por nombre o sigla y ver la malla de mi carrera por semestre, para encontrar la asignatura en que necesito ayuda.</t>
  </si>
  <si>
    <t xml:space="preserve">HU-07, HU-11</t>
  </si>
  <si>
    <t xml:space="preserve">Tiene 14 h: se parte en dos ramas (listas y búsqueda; malla y endpoints internos).</t>
  </si>
  <si>
    <t xml:space="preserve">HU-14</t>
  </si>
  <si>
    <t xml:space="preserve">Declarar asignaturas con tarifa (RN-01)</t>
  </si>
  <si>
    <t xml:space="preserve">Como usuario con el perfil completo, quiero declarar las asignaturas que puedo tutorear con su tarifa, para ofrecer tutorías en lo que domino.</t>
  </si>
  <si>
    <t xml:space="preserve">RF-03 · RN-01</t>
  </si>
  <si>
    <t xml:space="preserve">HU-08, HU-10, HU-12</t>
  </si>
  <si>
    <t xml:space="preserve">Tiene 14 h: se parte en dos ramas (regla RN-01; copias de lectura y pantalla).</t>
  </si>
  <si>
    <t xml:space="preserve">HU-15</t>
  </si>
  <si>
    <t xml:space="preserve">Bloques de disponibilidad</t>
  </si>
  <si>
    <t xml:space="preserve">Como tutor, quiero publicar, editar y eliminar bloques de disponibilidad, para que los estudiantes sepan cuándo puedo hacer tutorías.</t>
  </si>
  <si>
    <t xml:space="preserve">RF-05</t>
  </si>
  <si>
    <t xml:space="preserve">HU-08, HU-14</t>
  </si>
  <si>
    <t xml:space="preserve">HU-13</t>
  </si>
  <si>
    <t xml:space="preserve">Carga de 3 a 5 carreras</t>
  </si>
  <si>
    <t xml:space="preserve">Como estudiante de una carrera cargada, quiero que mi carrera y su malla estén en la plataforma, para declarar asignaturas y encontrar tutores de mi malla.</t>
  </si>
  <si>
    <t xml:space="preserve">HU-07, HU-12</t>
  </si>
  <si>
    <t xml:space="preserve">HU-19</t>
  </si>
  <si>
    <t xml:space="preserve">Sincronización de copias de lectura</t>
  </si>
  <si>
    <t xml:space="preserve">Como equipo de desarrollo, queremos un comando que sincronice las copias de lectura de Tutorías, para que la búsqueda muestre datos vigentes y excluya las cuentas desactivadas.</t>
  </si>
  <si>
    <t xml:space="preserve">EP-05 · Búsqueda y reservas</t>
  </si>
  <si>
    <t xml:space="preserve">AD-07 · A-01 · A-13</t>
  </si>
  <si>
    <t xml:space="preserve">HU-11, HU-14</t>
  </si>
  <si>
    <t xml:space="preserve">CA3 · CA7</t>
  </si>
  <si>
    <t xml:space="preserve">En el Pilar 4 v1.6 estaba en el Sprint 3.
Adelantada del sprint 3 al 2 en la replanificación.
Se ejecuta a mano hasta que exista el contenedor programador (HU-37).</t>
  </si>
  <si>
    <t xml:space="preserve">HU-21</t>
  </si>
  <si>
    <t xml:space="preserve">Solicitar una tutoría</t>
  </si>
  <si>
    <t xml:space="preserve">Como estudiante, quiero solicitar una tutoría sobre un bloque disponible, con una nota opcional, para coordinar una sesión con el tutor.</t>
  </si>
  <si>
    <t xml:space="preserve">RF-07 · AD-07</t>
  </si>
  <si>
    <t xml:space="preserve">HU-11, HU-15</t>
  </si>
  <si>
    <t xml:space="preserve">CA3</t>
  </si>
  <si>
    <t xml:space="preserve">En el Pilar 4 v1.6 estaba en el Sprint 3.
Adelantada del sprint 3 al 2 en la replanificación.</t>
  </si>
  <si>
    <t xml:space="preserve">HU-16</t>
  </si>
  <si>
    <t xml:space="preserve">Avisos por correo</t>
  </si>
  <si>
    <t xml:space="preserve">Como tutor, quiero recibir un correo cuando alguien me solicita una tutoría y, como estudiante, uno cuando me la confirman o rechazan, para enterarme sin revisar la plataforma a cada rato.</t>
  </si>
  <si>
    <t xml:space="preserve">EP-06 · Avisos</t>
  </si>
  <si>
    <t xml:space="preserve">RF-09</t>
  </si>
  <si>
    <t xml:space="preserve">HU-02, HU-11</t>
  </si>
  <si>
    <t xml:space="preserve">CA3 · CA4</t>
  </si>
  <si>
    <t xml:space="preserve">En el Pilar 4 v1.6 estaba en el Sprint 3.
Adelantada del sprint 3 al 2 en la replanificación: se construye contra el contrato y se integra en el sprint 3.</t>
  </si>
  <si>
    <t xml:space="preserve">HU-37</t>
  </si>
  <si>
    <t xml:space="preserve">Contenedor programador</t>
  </si>
  <si>
    <t xml:space="preserve">Como equipo de desarrollo, queremos el contenedor programador en la composición, para que los comandos de Tutorías se ejecuten solos cada cinco minutos.</t>
  </si>
  <si>
    <t xml:space="preserve">AD-10</t>
  </si>
  <si>
    <t xml:space="preserve">Sprint 3</t>
  </si>
  <si>
    <t xml:space="preserve">HU-01, HU-19</t>
  </si>
  <si>
    <t xml:space="preserve">CA6</t>
  </si>
  <si>
    <t xml:space="preserve">En el Pilar 4 v1.6 estaba en el Sprint 4.
Va los dos primeros días del sprint 3, antes de HU-29 (replanificación).</t>
  </si>
  <si>
    <t xml:space="preserve">HU-20</t>
  </si>
  <si>
    <t xml:space="preserve">Búsqueda de tutores con reputación</t>
  </si>
  <si>
    <t xml:space="preserve">Como estudiante, quiero buscar tutores por asignatura y ver su reputación, para elegir al tutor con mejores referencias.</t>
  </si>
  <si>
    <t xml:space="preserve">RF-06</t>
  </si>
  <si>
    <t xml:space="preserve">HU-14, HU-19</t>
  </si>
  <si>
    <t xml:space="preserve">Puede adelantarse con la holgura del sprint 2 (replanificación).</t>
  </si>
  <si>
    <t xml:space="preserve">HU-18</t>
  </si>
  <si>
    <t xml:space="preserve">Pantallas de búsqueda y resultados</t>
  </si>
  <si>
    <t xml:space="preserve">Como estudiante, quiero buscar una asignatura y ver los tutores que la ofrecen, para elegir con quién pedir una tutoría.</t>
  </si>
  <si>
    <t xml:space="preserve">HU-06, HU-12, HU-20</t>
  </si>
  <si>
    <t xml:space="preserve">Rehace la página de asignaturas de la semana de planificación sobre el contrato de Catálogo (Pilar 3 §13).
Puede adelantarse con la holgura del sprint 2 (replanificación).</t>
  </si>
  <si>
    <t xml:space="preserve">HU-22</t>
  </si>
  <si>
    <t xml:space="preserve">Confirmar o rechazar una solicitud</t>
  </si>
  <si>
    <t xml:space="preserve">Como tutor, quiero confirmar o rechazar las solicitudes que recibo, para decidir con quién hago cada tutoría.</t>
  </si>
  <si>
    <t xml:space="preserve">RF-07 · RN-03</t>
  </si>
  <si>
    <t xml:space="preserve">CA4</t>
  </si>
  <si>
    <t xml:space="preserve">HU-23</t>
  </si>
  <si>
    <t xml:space="preserve">Pagos simulados (servicio)</t>
  </si>
  <si>
    <t xml:space="preserve">Como estudiante, quiero pagar de forma simulada una tutoría confirmada y reintentar si falla, para dejar resuelto el pago de la sesión.</t>
  </si>
  <si>
    <t xml:space="preserve">EP-08 · Pagos</t>
  </si>
  <si>
    <t xml:space="preserve">RF-12 · RN-05</t>
  </si>
  <si>
    <t xml:space="preserve">CA5 · CA9</t>
  </si>
  <si>
    <t xml:space="preserve">En el Pilar 4 v1.6 estaba en el Sprint 4.
Va en la primera semana del sprint 3, antes de HU-28 (cancelación con reembolso).</t>
  </si>
  <si>
    <t xml:space="preserve">HU-28</t>
  </si>
  <si>
    <t xml:space="preserve">Cancelación, retiro y expiración</t>
  </si>
  <si>
    <t xml:space="preserve">Como estudiante o tutor, quiero cancelar una reserva confirmada o retirar una solicitud pendiente, para liberar el horario cuando no podemos asistir.</t>
  </si>
  <si>
    <t xml:space="preserve">RF-08 · RN-04</t>
  </si>
  <si>
    <t xml:space="preserve">HU-22, HU-23</t>
  </si>
  <si>
    <t xml:space="preserve">CA9</t>
  </si>
  <si>
    <t xml:space="preserve">En el Pilar 4 v1.6 estaba en el Sprint 4.</t>
  </si>
  <si>
    <t xml:space="preserve">HU-29</t>
  </si>
  <si>
    <t xml:space="preserve">Cierre automático y expiración (programador)</t>
  </si>
  <si>
    <t xml:space="preserve">Como usuario, quiero que las tutorías pasen solas a realizadas cuando termina la hora y que las solicitudes sin respuesta expiren, para poder evaluar y no quedar con solicitudes pendientes para siempre.</t>
  </si>
  <si>
    <t xml:space="preserve">HU-28, HU-37</t>
  </si>
  <si>
    <t xml:space="preserve">HU-25</t>
  </si>
  <si>
    <t xml:space="preserve">Evaluación y reputación</t>
  </si>
  <si>
    <t xml:space="preserve">Como estudiante, quiero evaluar al tutor después de la sesión con una nota y un comentario opcional, para que otros estudiantes conozcan su desempeño.</t>
  </si>
  <si>
    <t xml:space="preserve">EP-07 · Evaluaciones y reputación</t>
  </si>
  <si>
    <t xml:space="preserve">RF-11 · RN-06</t>
  </si>
  <si>
    <t xml:space="preserve">HU-22, HU-29</t>
  </si>
  <si>
    <t xml:space="preserve">En el Pilar 4 v1.6 estaba en el Sprint 4.
Tiene 14 h: se parte en dos ramas.
Se desarrolla con reservas de prueba en estado REALIZADA; la demostración completa se hace al cierre, con HU-29 lista.</t>
  </si>
  <si>
    <t xml:space="preserve">HU-26</t>
  </si>
  <si>
    <t xml:space="preserve">Historial y pantalla de evaluación</t>
  </si>
  <si>
    <t xml:space="preserve">Como usuario, quiero ver el historial de las tutorías que solicité e impartí y evaluar desde ahí, para llevar registro de mis sesiones.</t>
  </si>
  <si>
    <t xml:space="preserve">RF-10 · RF-11</t>
  </si>
  <si>
    <t xml:space="preserve">HU-06, HU-25</t>
  </si>
  <si>
    <t xml:space="preserve">En el Pilar 4 v1.6 estaba en el Sprint 4.
Conviene delimitarla con HU-30: el historial muestra lo terminado y «Mis reservas» lo vigente.</t>
  </si>
  <si>
    <t xml:space="preserve">HU-24</t>
  </si>
  <si>
    <t xml:space="preserve">Pantalla de pago y estado del pago</t>
  </si>
  <si>
    <t xml:space="preserve">Como estudiante, quiero una pantalla de pago simulado y ver el estado del pago en el detalle de la reserva, para saber si la tutoría quedó pagada.</t>
  </si>
  <si>
    <t xml:space="preserve">RF-12</t>
  </si>
  <si>
    <t xml:space="preserve">CA5</t>
  </si>
  <si>
    <t xml:space="preserve">En el Pilar 4 v1.6 estaba en el Sprint 4.
Si el 27-10 el sprint 3 va atrasado y ya se aplicó el escalón 3, el escalón 4 saca esta historia (sin pago simulado), previa consulta al profesor.</t>
  </si>
  <si>
    <t xml:space="preserve">HU-30</t>
  </si>
  <si>
    <t xml:space="preserve">Mis reservas y solicitudes recibidas</t>
  </si>
  <si>
    <t xml:space="preserve">Como usuario, quiero ver mis reservas y las solicitudes que recibo, para gestionar mis tutorías desde un solo lugar.</t>
  </si>
  <si>
    <t xml:space="preserve">RF-10</t>
  </si>
  <si>
    <t xml:space="preserve">HU-21, HU-22, HU-24, HU-28</t>
  </si>
  <si>
    <t xml:space="preserve">CA4 · CA9</t>
  </si>
  <si>
    <t xml:space="preserve">En el Pilar 4 v1.6 estaba en el Sprint 4.
Dueño en el Pilar 4: Damaris (cambio a acordar).
La replanificación la pasa de Damaris a Bryan (a acordar con el equipo). El backend sigue siendo de Damaris.</t>
  </si>
  <si>
    <t xml:space="preserve">HU-17</t>
  </si>
  <si>
    <t xml:space="preserve">Integración de Identidad y sus pruebas</t>
  </si>
  <si>
    <t xml:space="preserve">Como equipo de desarrollo, queremos integrar Identidad con el resto de los servicios y probar esa integración, para asegurar que tokens, datos internos y avisos funcionen entre servicios.</t>
  </si>
  <si>
    <t xml:space="preserve">HU-16, HU-21, HU-22</t>
  </si>
  <si>
    <t xml:space="preserve">HU-27</t>
  </si>
  <si>
    <t xml:space="preserve">Pruebas de evaluaciones y reputación</t>
  </si>
  <si>
    <t xml:space="preserve">Como equipo de desarrollo, queremos pruebas automáticas del módulo de evaluaciones, para que RN-06 no se rompa sin que nadie lo note.</t>
  </si>
  <si>
    <t xml:space="preserve">HU-31</t>
  </si>
  <si>
    <t xml:space="preserve">Administración de usuarios (Identidad)</t>
  </si>
  <si>
    <t xml:space="preserve">Como administrador, quiero listar usuarios y desactivar una cuenta, para operar y moderar la plataforma.</t>
  </si>
  <si>
    <t xml:space="preserve">RF-13</t>
  </si>
  <si>
    <t xml:space="preserve">Sprint 4</t>
  </si>
  <si>
    <t xml:space="preserve">CA7</t>
  </si>
  <si>
    <t xml:space="preserve">En el Pilar 4 v1.6 estaba en el Sprint 5.
Va el lunes y martes del sprint 4, porque el panel (HU-33) depende de estos endpoints.</t>
  </si>
  <si>
    <t xml:space="preserve">HU-33</t>
  </si>
  <si>
    <t xml:space="preserve">Panel de administración</t>
  </si>
  <si>
    <t xml:space="preserve">Como administrador, quiero un panel para gestionar usuarios, tutorías, evaluaciones y el catálogo, para operar la plataforma sin tocar la base de datos.</t>
  </si>
  <si>
    <t xml:space="preserve">HU-12, HU-25, HU-31</t>
  </si>
  <si>
    <t xml:space="preserve">En el Pilar 4 v1.6 estaba en el Sprint 5.
Tiene 19 h: se parte en dos ramas.
Si el 18-10 el sprint 2 cerró bajo el 90 %, se aplica el escalón 3 y el panel queda en consultar y desactivar usuarios (unas 6 h).</t>
  </si>
  <si>
    <t xml:space="preserve">HU-34</t>
  </si>
  <si>
    <t xml:space="preserve">Pruebas de extremo a extremo</t>
  </si>
  <si>
    <t xml:space="preserve">Como equipo de desarrollo, queremos pruebas de extremo a extremo sobre el sistema levantado, para demostrar que el recorrido completo funciona entre servicios.</t>
  </si>
  <si>
    <t xml:space="preserve">RNF-06 · RNF-02</t>
  </si>
  <si>
    <t xml:space="preserve">Todo el flujo del MVP</t>
  </si>
  <si>
    <t xml:space="preserve">En el Pilar 4 v1.6 estaba en el Sprint 5.
Dueño en el Pilar 4: Francisco (cambio a acordar).
La replanificación la pasa de Francisco a Bryan (a acordar con el equipo).</t>
  </si>
  <si>
    <t xml:space="preserve">HU-36</t>
  </si>
  <si>
    <t xml:space="preserve">Pruebas de Tutorías y corrección de errores</t>
  </si>
  <si>
    <t xml:space="preserve">Como equipo de desarrollo, queremos pruebas automáticas de Tutorías y corregir los errores de la integración, para que las reglas de negocio no se rompan.</t>
  </si>
  <si>
    <t xml:space="preserve">RNF-06 · RNF-08</t>
  </si>
  <si>
    <t xml:space="preserve">Tutorías completo</t>
  </si>
  <si>
    <t xml:space="preserve">En el Pilar 4 v1.6 estaba en el Sprint 5.</t>
  </si>
  <si>
    <t xml:space="preserve">HU-35</t>
  </si>
  <si>
    <t xml:space="preserve">Sistema visual y revisión en teléfono</t>
  </si>
  <si>
    <t xml:space="preserve">Como usuario, quiero que todas las pantallas se vean y funcionen bien en mi teléfono y en mi navegador, para usar la plataforma desde donde esté.</t>
  </si>
  <si>
    <t xml:space="preserve">RNF-03 · RNF-04</t>
  </si>
  <si>
    <t xml:space="preserve">Todas las pantallas</t>
  </si>
  <si>
    <t xml:space="preserve">HU-32</t>
  </si>
  <si>
    <t xml:space="preserve">Ensayo de la demostración y documentación final</t>
  </si>
  <si>
    <t xml:space="preserve">Como equipo, queremos ensayar la demostración y cerrar la documentación del portafolio, para presentar el MVP sin sorpresas.</t>
  </si>
  <si>
    <t xml:space="preserve">Tarea del proyecto</t>
  </si>
  <si>
    <t xml:space="preserve">Sem. 14–15</t>
  </si>
  <si>
    <t xml:space="preserve">Todo el MVP</t>
  </si>
  <si>
    <t xml:space="preserve">CA1 a CA9</t>
  </si>
  <si>
    <t xml:space="preserve">No es desarrollo: pasa a las semanas 14 y 15, después del congelamiento del 8-nov (replanificación).</t>
  </si>
  <si>
    <t xml:space="preserve">Total</t>
  </si>
  <si>
    <t xml:space="preserve">Candidatos fuera del plan: no tienen historia ni sprint. Entran de a uno y en este orden, solo si la velocidad medida deja capacidad libre para terminar el Must (Pilar 1 §3.2).</t>
  </si>
  <si>
    <t xml:space="preserve">RF-14</t>
  </si>
  <si>
    <t xml:space="preserve">Recordatorio por correo antes de la sesión y aviso de cancelación.</t>
  </si>
  <si>
    <t xml:space="preserve">Candidato</t>
  </si>
  <si>
    <t xml:space="preserve">Should</t>
  </si>
  <si>
    <t xml:space="preserve">Sin planificar</t>
  </si>
  <si>
    <t xml:space="preserve">RF-15</t>
  </si>
  <si>
    <t xml:space="preserve">Reglas de plazo para cancelar y reprogramación de tutorías.</t>
  </si>
  <si>
    <t xml:space="preserve">RF-16</t>
  </si>
  <si>
    <t xml:space="preserve">Importación de mallas desde el panel de administración mediante archivo CSV.</t>
  </si>
  <si>
    <t xml:space="preserve">RF-17</t>
  </si>
  <si>
    <t xml:space="preserve">Filtros avanzados de búsqueda: valoración mínima, franja horaria, modalidad y sede.</t>
  </si>
  <si>
    <t xml:space="preserve">AD-14</t>
  </si>
  <si>
    <t xml:space="preserve">Inicio de sesión institucional de Duoc, solo si Duoc lo autoriza (se consulta en el primer reporte).</t>
  </si>
  <si>
    <t xml:space="preserve">Should condicionado</t>
  </si>
  <si>
    <t xml:space="preserve">RF-18</t>
  </si>
  <si>
    <t xml:space="preserve">Integración con una pasarela de pago real en ambiente de pruebas.</t>
  </si>
  <si>
    <t xml:space="preserve">Could</t>
  </si>
  <si>
    <t xml:space="preserve">RF-19</t>
  </si>
  <si>
    <t xml:space="preserve">Panel de métricas para administración: tutorías por asignatura y tutores más solicitados.</t>
  </si>
  <si>
    <t xml:space="preserve">Resumen del backlog</t>
  </si>
  <si>
    <t xml:space="preserve">Todo se calcula desde la hoja Product Backlog: al cambiar un estado, un dueño o un sprint, estas tablas se actualizan solas.</t>
  </si>
  <si>
    <t xml:space="preserve">1. Horas por sprint y dueño</t>
  </si>
  <si>
    <t xml:space="preserve">Listas</t>
  </si>
  <si>
    <t xml:space="preserve">Pendientes</t>
  </si>
  <si>
    <t xml:space="preserve">% listo</t>
  </si>
  <si>
    <t xml:space="preserve">2. Planificado frente a capacidad de desarrollo (replanificación, 25 h semanales)</t>
  </si>
  <si>
    <t xml:space="preserve">Capacidad</t>
  </si>
  <si>
    <t xml:space="preserve">Diferencia</t>
  </si>
  <si>
    <t xml:space="preserve">Capacidad (en azul): replanificación del 25-09, con 14,75 h de desarrollo por semana para Bryan y 18,75 h para Francisco y Damaris. Una diferencia negativa (en rojo) significa horas planificadas por sobre la capacidad. El sprint 1 se planificó con el Pilar 4 v1.6 (20 h semanales); desde el 26-09 le quedan 68 h frente a 67,2 h de capacidad.</t>
  </si>
  <si>
    <t xml:space="preserve">3. Horas por épica</t>
  </si>
  <si>
    <t xml:space="preserve">Historias</t>
  </si>
  <si>
    <t xml:space="preserve">% avance</t>
  </si>
  <si>
    <t xml:space="preserve">4. Historias por tipo</t>
  </si>
  <si>
    <t xml:space="preserve">Leyenda</t>
  </si>
  <si>
    <t xml:space="preserve">Cómo usar esta planilla</t>
  </si>
  <si>
    <t xml:space="preserve">Orden</t>
  </si>
  <si>
    <t xml:space="preserve">La columna Prioridad es el orden del backlog: por sprint y, dentro de cada sprint, por dependencias y por aporte al objetivo del sprint. Para repriorizar, cambia los números y ordena la tabla por esa columna.</t>
  </si>
  <si>
    <t xml:space="preserve">Por hacer · En curso · En revisión (Pull Request abierto) · Listo. Una historia pasa a Listo solo si cumple la definición de Listo del Pilar 5 §8, incluida la fusión a develop.</t>
  </si>
  <si>
    <t xml:space="preserve">Día en que la historia se fusionó a develop. La usan los burndown de cada sprint.</t>
  </si>
  <si>
    <t xml:space="preserve">Sprint y Dueño</t>
  </si>
  <si>
    <t xml:space="preserve">Según la replanificación del 25-09, a acordar con el equipo. La columna Notas dice cuándo difieren del Pilar 4 v1.6.</t>
  </si>
  <si>
    <t xml:space="preserve">Estimación en horas del Pilar 4 v1.6 (en azul: valores escritos a mano). Toda historia sobre 12 h se parte en dos ramas al planificar.</t>
  </si>
  <si>
    <t xml:space="preserve">Las 37 historias son Must. Los candidatos Should y Could están abajo, sin sprint.</t>
  </si>
  <si>
    <t xml:space="preserve">Criterios de aceptación del Pilar 1 (CA1 a CA9) que la historia ayuda a demostrar. Los criterios de cada historia están en el documento 7.</t>
  </si>
  <si>
    <t xml:space="preserve">Colores</t>
  </si>
  <si>
    <t xml:space="preserve">Verde: Listo. Amarillo: En curso. Celeste: En revisión. Azul en el texto: número escrito a mano.</t>
  </si>
  <si>
    <t xml:space="preserve">Fuentes</t>
  </si>
  <si>
    <t xml:space="preserve">Historias y horas</t>
  </si>
  <si>
    <t xml:space="preserve">Pilar 4 v1.6, tabla 3.2, y carta Gantt (columna Épica).</t>
  </si>
  <si>
    <t xml:space="preserve">Sprints y dueños</t>
  </si>
  <si>
    <t xml:space="preserve">Replanificación del 25-09-2026 (propuesta del líder).</t>
  </si>
  <si>
    <t xml:space="preserve">Estados</t>
  </si>
  <si>
    <t xml:space="preserve">Repositorio al 27-09-2026: HU-01 (PR #1, 21-09) y HU-02 (PR #2, 25-09) fusionadas a develop; sin ramas de HU-03 a HU-09 en GitHub.</t>
  </si>
  <si>
    <t xml:space="preserve">En revisión</t>
  </si>
  <si>
    <t xml:space="preserve">Al 01-10: rama feat/HU-04-registro-usuario, PR [COMPLETAR: #]. Queda el modelo de Identidad, el registro y la verificación del correo.</t>
  </si>
  <si>
    <t xml:space="preserve">Al 01-10: rama feat/HU-05-inicio-sesion, PR [COMPLETAR: #]. Queda el inicio de sesión con token RS256, la renovación y el cierre de sesión.</t>
  </si>
  <si>
    <t xml:space="preserve">En curso</t>
  </si>
  <si>
    <t xml:space="preserve">Al 01-10: rama feat/HU-06-paginas-en-gateway, PR [COMPLETAR: #]. Quedan las páginas estáticas que sirve Nginx en /app/ (la alternativa de AD-12); la base en React no se hizo. La hizo Bryan por reasignación del 30-09.
Tiene 14 h: al planificar se parte en dos ramas con un punto de integración intermedio (Pilar 4 §6).</t>
  </si>
  <si>
    <t xml:space="preserve">Al 01-10: rama feat/HU-07-modelo-catalogo, PR [COMPLETAR: #]. Queda el modelo del catálogo, con ocho tablas; falta el script de carga desde CSV (criterios 2 y 3). La hizo Bryan por reasignación del 30-09.</t>
  </si>
  <si>
    <t xml:space="preserve">Al 01-10: rama feat/HU-08-modelo-tutorias, PR [COMPLETAR: #]. Queda completa y los criterios 1 a 4 tienen pruebas. La hizo Bryan por reasignación del 30-09.</t>
  </si>
  <si>
    <t xml:space="preserve">Al 01-10: rama feat/HU-09-pantallas-acceso, PR [COMPLETAR: #]. Quedan registro.html, login.html y verificar.html conectados a Identidad. La hizo Bryan por reasignación del 30-09.
Corrige las maquetas de la semana de planificación (Pilar 3 §13): pedían RUT, tipo de cuenta, carrera, sede y semestre, y validaban la contraseña con seis caracteres.</t>
  </si>
  <si>
    <t xml:space="preserve">Al 01-10: rama feat/HU-12-api-catalogo, PR [COMPLETAR: #]. Adelantada del sprint 2: quedan los GET públicos de Catálogo; faltan los /internal y la prueba de contrato. La rama sale de la de HU-07. La hizo Bryan por reasignación del 30-09.
Tiene 14 h: se parte en dos ramas (listas y búsqueda; malla y endpoints internos).</t>
  </si>
  <si>
    <t xml:space="preserve">Al 01-10: rama feat/HU-23-modelo-pagos, PR [COMPLETAR: #]. Adelantada del sprint 3: queda solo el modelo de pago e intento_pago.
En el Pilar 4 v1.6 estaba en el Sprint 4.
Va en la primera semana del sprint 3, antes de HU-28 (cancelación con reembolso).</t>
  </si>
  <si>
    <t xml:space="preserve">Repositorio al 27-09-2026: HU-01 (PR #1, 21-09) y HU-02 (PR #2, 25-09) fusionadas a develop; sin ramas de HU-03 a HU-09 en GitHub. HU-04 a HU-09, HU-12 y HU-23: estado al 01-10-2026 informado por Bryan (ver Notas); ningún PR se fusionó.</t>
  </si>
  <si>
    <t xml:space="preserve">Al 01-10: rama feat/HU-04-registro-usuario, PR #5. Queda el modelo de Identidad, el registro y la verificación del correo.</t>
  </si>
  <si>
    <t xml:space="preserve">Al 01-10: rama feat/HU-05-inicio-sesion, PR #11. Queda el inicio de sesión con token RS256, la renovación y el cierre de sesión.</t>
  </si>
  <si>
    <t xml:space="preserve">Al 01-10: rama feat/HU-06-paginas-en-gateway, PR #10. Quedan las páginas estáticas que sirve Nginx en /app/ (la alternativa de AD-12); la base en React no se hizo. La hizo Bryan por reasignación del 30-09.
Tiene 14 h: al planificar se parte en dos ramas con un punto de integración intermedio (Pilar 4 §6).</t>
  </si>
  <si>
    <t xml:space="preserve">Al 01-10: rama feat/HU-07-modelo-catalogo, PR #6. Queda el modelo del catálogo, con ocho tablas; falta el script de carga desde CSV (criterios 2 y 3). La hizo Bryan por reasignación del 30-09.</t>
  </si>
  <si>
    <t xml:space="preserve">Al 01-10: rama feat/HU-08-modelo-tutorias, PR #7. Queda completa y los criterios 1 a 4 tienen pruebas. La hizo Bryan por reasignación del 30-09.</t>
  </si>
  <si>
    <t xml:space="preserve">Al 01-10: rama feat/HU-09-pantallas-acceso, PR #12. Quedan registro.html, login.html y verificar.html conectados a Identidad. La hizo Bryan por reasignación del 30-09.
Corrige las maquetas de la semana de planificación (Pilar 3 §13): pedían RUT, tipo de cuenta, carrera, sede y semestre, y validaban la contraseña con seis caracteres.</t>
  </si>
  <si>
    <t xml:space="preserve">Al 01-10: rama feat/HU-12-api-catalogo, PR #9. Adelantada del sprint 2: quedan los GET públicos de Catálogo; faltan los /internal y la prueba de contrato. La rama sale de la de HU-07. La hizo Bryan por reasignación del 30-09.
Tiene 14 h: se parte en dos ramas (listas y búsqueda; malla y endpoints internos).</t>
  </si>
  <si>
    <t xml:space="preserve">Al 01-10: rama feat/HU-23-modelo-pagos, PR #8. Adelantada del sprint 3: queda solo el modelo de pago e intento_pago.
En el Pilar 4 v1.6 estaba en el Sprint 4.
Va en la primera semana del sprint 3, antes de HU-28 (cancelación con reembolso).</t>
  </si>
  <si>
    <t xml:space="preserve">Al 01-10: rama feat/HU-07-modelo-catalogo, PR #6. Queda el modelo del catálogo, con ocho tablas; falta el script de carga desde CSV (criterios 2 a 4). La hizo Bryan por reasignación del 30-09.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</si>
</sst>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dd\-mm\-yyyy"/>
    <numFmt numFmtId="168" formatCode="0%"/>
    <numFmt numFmtId="169" formatCode="0.0#"/>
    <numFmt numFmtId="170" formatCode="0.0#;[RED]\-0.0#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2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3F8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Horas por sprint y dueño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Resumen!B5</c:f>
              <c:strCache>
                <c:ptCount val="1"/>
                <c:pt idx="0">
                  <c:v>Bryan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Resumen!$A$6:$A$11</c:f>
              <c:strCache>
                <c:ptCount val="6"/>
                <c:pt idx="0">
                  <c:v>Cimientos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Sem. 14–15</c:v>
                </c:pt>
              </c:strCache>
            </c:strRef>
          </c:cat>
          <c:val>
            <c:numRef>
              <c:f>Resumen!$B$6:$B$11</c:f>
              <c:numCache>
                <c:formatCode>0</c:formatCode>
                <c:ptCount val="6"/>
                <c:pt idx="0">
                  <c:v>18</c:v>
                </c:pt>
                <c:pt idx="1">
                  <c:v>25</c:v>
                </c:pt>
                <c:pt idx="2">
                  <c:v>30</c:v>
                </c:pt>
                <c:pt idx="3">
                  <c:v>29</c:v>
                </c:pt>
                <c:pt idx="4">
                  <c:v>14</c:v>
                </c:pt>
                <c:pt idx="5">
                  <c:v>6</c:v>
                </c:pt>
              </c:numCache>
            </c:numRef>
          </c:val>
        </c:ser>
        <c:ser>
          <c:idx val="1"/>
          <c:order val="1"/>
          <c:tx>
            <c:strRef>
              <c:f>Resumen!C5</c:f>
              <c:strCache>
                <c:ptCount val="1"/>
                <c:pt idx="0">
                  <c:v>Francisco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Resumen!$A$6:$A$11</c:f>
              <c:strCache>
                <c:ptCount val="6"/>
                <c:pt idx="0">
                  <c:v>Cimientos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Sem. 14–15</c:v>
                </c:pt>
              </c:strCache>
            </c:strRef>
          </c:cat>
          <c:val>
            <c:numRef>
              <c:f>Resumen!$C$6:$C$11</c:f>
              <c:numCache>
                <c:formatCode>0</c:formatCode>
                <c:ptCount val="6"/>
                <c:pt idx="0">
                  <c:v>0</c:v>
                </c:pt>
                <c:pt idx="1">
                  <c:v>22</c:v>
                </c:pt>
                <c:pt idx="2">
                  <c:v>36</c:v>
                </c:pt>
                <c:pt idx="3">
                  <c:v>40</c:v>
                </c:pt>
                <c:pt idx="4">
                  <c:v>19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Resumen!D5</c:f>
              <c:strCache>
                <c:ptCount val="1"/>
                <c:pt idx="0">
                  <c:v>Damaris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Resumen!$A$6:$A$11</c:f>
              <c:strCache>
                <c:ptCount val="6"/>
                <c:pt idx="0">
                  <c:v>Cimientos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Sem. 14–15</c:v>
                </c:pt>
              </c:strCache>
            </c:strRef>
          </c:cat>
          <c:val>
            <c:numRef>
              <c:f>Resumen!$D$6:$D$11</c:f>
              <c:numCache>
                <c:formatCode>0</c:formatCode>
                <c:ptCount val="6"/>
                <c:pt idx="0">
                  <c:v>0</c:v>
                </c:pt>
                <c:pt idx="1">
                  <c:v>24</c:v>
                </c:pt>
                <c:pt idx="2">
                  <c:v>34</c:v>
                </c:pt>
                <c:pt idx="3">
                  <c:v>40</c:v>
                </c:pt>
                <c:pt idx="4">
                  <c:v>18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36263517"/>
        <c:axId val="58754206"/>
      </c:barChart>
      <c:catAx>
        <c:axId val="362635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54206"/>
        <c:crosses val="autoZero"/>
        <c:auto val="1"/>
        <c:lblAlgn val="ctr"/>
        <c:lblOffset val="100"/>
        <c:noMultiLvlLbl val="0"/>
      </c:catAx>
      <c:valAx>
        <c:axId val="58754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635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160920</xdr:rowOff>
    </xdr:from>
    <xdr:to>
      <xdr:col>19</xdr:col>
      <xdr:colOff>507600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1097280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58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22"/>
    <col collapsed="false" customWidth="true" hidden="false" outlineLevel="0" max="15" min="15" style="0" width="14"/>
    <col collapsed="false" customWidth="true" hidden="false" outlineLevel="0" max="16" min="16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f aca="false">SUM(J6:J42)</f>
        <v>355</v>
      </c>
      <c r="D3" s="5" t="s">
        <v>3</v>
      </c>
      <c r="E3" s="4" t="n">
        <f aca="false">SUMIFS(J6:J42,L6:L42,"Listo")</f>
        <v>21</v>
      </c>
      <c r="F3" s="5" t="s">
        <v>4</v>
      </c>
      <c r="G3" s="6" t="n">
        <f aca="false">IF(C3=0,0,E3/C3)</f>
        <v>0.0591549295774648</v>
      </c>
    </row>
    <row r="5" customFormat="false" ht="30" hidden="false" customHeight="true" outlineLevel="0" collapsed="false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  <c r="M5" s="7" t="s">
        <v>17</v>
      </c>
      <c r="N5" s="7" t="s">
        <v>18</v>
      </c>
      <c r="O5" s="7" t="s">
        <v>19</v>
      </c>
      <c r="P5" s="7" t="s">
        <v>20</v>
      </c>
    </row>
    <row r="6" customFormat="false" ht="42" hidden="false" customHeight="true" outlineLevel="0" collapsed="false">
      <c r="A6" s="8" t="n">
        <v>1</v>
      </c>
      <c r="B6" s="9" t="s">
        <v>21</v>
      </c>
      <c r="C6" s="10" t="s">
        <v>22</v>
      </c>
      <c r="D6" s="10" t="s">
        <v>23</v>
      </c>
      <c r="E6" s="10" t="s">
        <v>24</v>
      </c>
      <c r="F6" s="10" t="s">
        <v>25</v>
      </c>
      <c r="G6" s="10" t="s">
        <v>26</v>
      </c>
      <c r="H6" s="11" t="s">
        <v>27</v>
      </c>
      <c r="I6" s="10" t="s">
        <v>28</v>
      </c>
      <c r="J6" s="8" t="n">
        <v>18</v>
      </c>
      <c r="K6" s="10" t="s">
        <v>29</v>
      </c>
      <c r="L6" s="10" t="s">
        <v>30</v>
      </c>
      <c r="M6" s="12" t="n">
        <v>46286</v>
      </c>
      <c r="N6" s="10" t="s">
        <v>31</v>
      </c>
      <c r="O6" s="10" t="s">
        <v>32</v>
      </c>
      <c r="P6" s="10" t="s">
        <v>33</v>
      </c>
    </row>
    <row r="7" customFormat="false" ht="42" hidden="false" customHeight="true" outlineLevel="0" collapsed="false">
      <c r="A7" s="8" t="n">
        <v>2</v>
      </c>
      <c r="B7" s="9" t="s">
        <v>34</v>
      </c>
      <c r="C7" s="10" t="s">
        <v>35</v>
      </c>
      <c r="D7" s="10" t="s">
        <v>36</v>
      </c>
      <c r="E7" s="10" t="s">
        <v>24</v>
      </c>
      <c r="F7" s="10" t="s">
        <v>25</v>
      </c>
      <c r="G7" s="10" t="s">
        <v>37</v>
      </c>
      <c r="H7" s="11" t="s">
        <v>27</v>
      </c>
      <c r="I7" s="10" t="s">
        <v>28</v>
      </c>
      <c r="J7" s="8" t="n">
        <v>3</v>
      </c>
      <c r="K7" s="10" t="s">
        <v>38</v>
      </c>
      <c r="L7" s="10" t="s">
        <v>30</v>
      </c>
      <c r="M7" s="12" t="n">
        <v>46290</v>
      </c>
      <c r="N7" s="10" t="s">
        <v>21</v>
      </c>
      <c r="O7" s="10" t="s">
        <v>39</v>
      </c>
      <c r="P7" s="10" t="s">
        <v>40</v>
      </c>
    </row>
    <row r="8" customFormat="false" ht="69" hidden="false" customHeight="true" outlineLevel="0" collapsed="false">
      <c r="A8" s="8" t="n">
        <v>3</v>
      </c>
      <c r="B8" s="9" t="s">
        <v>41</v>
      </c>
      <c r="C8" s="10" t="s">
        <v>42</v>
      </c>
      <c r="D8" s="10" t="s">
        <v>43</v>
      </c>
      <c r="E8" s="10" t="s">
        <v>24</v>
      </c>
      <c r="F8" s="10" t="s">
        <v>44</v>
      </c>
      <c r="G8" s="10" t="s">
        <v>45</v>
      </c>
      <c r="H8" s="11" t="s">
        <v>27</v>
      </c>
      <c r="I8" s="10" t="s">
        <v>28</v>
      </c>
      <c r="J8" s="8" t="n">
        <v>4</v>
      </c>
      <c r="K8" s="10" t="s">
        <v>38</v>
      </c>
      <c r="L8" s="10" t="s">
        <v>46</v>
      </c>
      <c r="M8" s="12"/>
      <c r="N8" s="10" t="s">
        <v>21</v>
      </c>
      <c r="O8" s="10"/>
      <c r="P8" s="10" t="s">
        <v>47</v>
      </c>
    </row>
    <row r="9" customFormat="false" ht="42" hidden="false" customHeight="true" outlineLevel="0" collapsed="false">
      <c r="A9" s="8" t="n">
        <v>4</v>
      </c>
      <c r="B9" s="9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1" t="s">
        <v>27</v>
      </c>
      <c r="I9" s="10" t="s">
        <v>28</v>
      </c>
      <c r="J9" s="8" t="n">
        <v>10</v>
      </c>
      <c r="K9" s="10" t="s">
        <v>38</v>
      </c>
      <c r="L9" s="10" t="s">
        <v>306</v>
      </c>
      <c r="M9" s="12"/>
      <c r="N9" s="10" t="s">
        <v>54</v>
      </c>
      <c r="O9" s="10" t="s">
        <v>39</v>
      </c>
      <c r="P9" s="10" t="s">
        <v>317</v>
      </c>
    </row>
    <row r="10" customFormat="false" ht="42" hidden="false" customHeight="true" outlineLevel="0" collapsed="false">
      <c r="A10" s="8" t="n">
        <v>5</v>
      </c>
      <c r="B10" s="9" t="s">
        <v>55</v>
      </c>
      <c r="C10" s="10" t="s">
        <v>56</v>
      </c>
      <c r="D10" s="10" t="s">
        <v>57</v>
      </c>
      <c r="E10" s="10" t="s">
        <v>51</v>
      </c>
      <c r="F10" s="10" t="s">
        <v>52</v>
      </c>
      <c r="G10" s="10" t="s">
        <v>53</v>
      </c>
      <c r="H10" s="11" t="s">
        <v>27</v>
      </c>
      <c r="I10" s="10" t="s">
        <v>28</v>
      </c>
      <c r="J10" s="8" t="n">
        <v>8</v>
      </c>
      <c r="K10" s="10" t="s">
        <v>38</v>
      </c>
      <c r="L10" s="10" t="s">
        <v>306</v>
      </c>
      <c r="M10" s="12"/>
      <c r="N10" s="10" t="s">
        <v>58</v>
      </c>
      <c r="O10" s="10" t="s">
        <v>39</v>
      </c>
      <c r="P10" s="10" t="s">
        <v>318</v>
      </c>
    </row>
    <row r="11" customFormat="false" ht="95.25" hidden="false" customHeight="true" outlineLevel="0" collapsed="false">
      <c r="A11" s="8" t="n">
        <v>6</v>
      </c>
      <c r="B11" s="9" t="s">
        <v>59</v>
      </c>
      <c r="C11" s="10" t="s">
        <v>60</v>
      </c>
      <c r="D11" s="10" t="s">
        <v>61</v>
      </c>
      <c r="E11" s="10" t="s">
        <v>24</v>
      </c>
      <c r="F11" s="10" t="s">
        <v>25</v>
      </c>
      <c r="G11" s="10" t="s">
        <v>62</v>
      </c>
      <c r="H11" s="11" t="s">
        <v>27</v>
      </c>
      <c r="I11" s="10" t="s">
        <v>63</v>
      </c>
      <c r="J11" s="8" t="n">
        <v>14</v>
      </c>
      <c r="K11" s="10" t="s">
        <v>38</v>
      </c>
      <c r="L11" s="10" t="s">
        <v>309</v>
      </c>
      <c r="M11" s="12"/>
      <c r="N11" s="10" t="s">
        <v>64</v>
      </c>
      <c r="O11" s="10" t="s">
        <v>39</v>
      </c>
      <c r="P11" s="10" t="s">
        <v>319</v>
      </c>
    </row>
    <row r="12" customFormat="false" ht="108.75" hidden="false" customHeight="true" outlineLevel="0" collapsed="false">
      <c r="A12" s="8" t="n">
        <v>7</v>
      </c>
      <c r="B12" s="9" t="s">
        <v>66</v>
      </c>
      <c r="C12" s="10" t="s">
        <v>67</v>
      </c>
      <c r="D12" s="10" t="s">
        <v>68</v>
      </c>
      <c r="E12" s="10" t="s">
        <v>51</v>
      </c>
      <c r="F12" s="10" t="s">
        <v>52</v>
      </c>
      <c r="G12" s="10" t="s">
        <v>53</v>
      </c>
      <c r="H12" s="11" t="s">
        <v>27</v>
      </c>
      <c r="I12" s="10" t="s">
        <v>69</v>
      </c>
      <c r="J12" s="8" t="n">
        <v>12</v>
      </c>
      <c r="K12" s="10" t="s">
        <v>38</v>
      </c>
      <c r="L12" s="10" t="s">
        <v>306</v>
      </c>
      <c r="M12" s="12"/>
      <c r="N12" s="10" t="s">
        <v>70</v>
      </c>
      <c r="O12" s="10" t="s">
        <v>39</v>
      </c>
      <c r="P12" s="10" t="s">
        <v>322</v>
      </c>
    </row>
    <row r="13" customFormat="false" ht="55.5" hidden="false" customHeight="true" outlineLevel="0" collapsed="false">
      <c r="A13" s="8" t="n">
        <v>8</v>
      </c>
      <c r="B13" s="9" t="s">
        <v>72</v>
      </c>
      <c r="C13" s="10" t="s">
        <v>73</v>
      </c>
      <c r="D13" s="10" t="s">
        <v>74</v>
      </c>
      <c r="E13" s="10" t="s">
        <v>24</v>
      </c>
      <c r="F13" s="10" t="s">
        <v>75</v>
      </c>
      <c r="G13" s="10" t="s">
        <v>76</v>
      </c>
      <c r="H13" s="11" t="s">
        <v>27</v>
      </c>
      <c r="I13" s="10" t="s">
        <v>69</v>
      </c>
      <c r="J13" s="8" t="n">
        <v>12</v>
      </c>
      <c r="K13" s="10" t="s">
        <v>38</v>
      </c>
      <c r="L13" s="10" t="s">
        <v>306</v>
      </c>
      <c r="M13" s="12"/>
      <c r="N13" s="10" t="s">
        <v>21</v>
      </c>
      <c r="O13" s="10" t="s">
        <v>77</v>
      </c>
      <c r="P13" s="10" t="s">
        <v>321</v>
      </c>
    </row>
    <row r="14" customFormat="false" ht="69" hidden="false" customHeight="true" outlineLevel="0" collapsed="false">
      <c r="A14" s="8" t="n">
        <v>9</v>
      </c>
      <c r="B14" s="9" t="s">
        <v>78</v>
      </c>
      <c r="C14" s="10" t="s">
        <v>79</v>
      </c>
      <c r="D14" s="10" t="s">
        <v>80</v>
      </c>
      <c r="E14" s="10" t="s">
        <v>24</v>
      </c>
      <c r="F14" s="10" t="s">
        <v>81</v>
      </c>
      <c r="G14" s="10" t="s">
        <v>82</v>
      </c>
      <c r="H14" s="11" t="s">
        <v>27</v>
      </c>
      <c r="I14" s="10" t="s">
        <v>63</v>
      </c>
      <c r="J14" s="8" t="n">
        <v>8</v>
      </c>
      <c r="K14" s="10" t="s">
        <v>38</v>
      </c>
      <c r="L14" s="10" t="s">
        <v>309</v>
      </c>
      <c r="M14" s="12"/>
      <c r="N14" s="10" t="s">
        <v>21</v>
      </c>
      <c r="O14" s="10" t="s">
        <v>77</v>
      </c>
      <c r="P14" s="10" t="s">
        <v>325</v>
      </c>
    </row>
    <row r="15" customFormat="false" ht="69" hidden="false" customHeight="true" outlineLevel="0" collapsed="false">
      <c r="A15" s="8" t="n">
        <v>10</v>
      </c>
      <c r="B15" s="9" t="s">
        <v>83</v>
      </c>
      <c r="C15" s="10" t="s">
        <v>84</v>
      </c>
      <c r="D15" s="10" t="s">
        <v>85</v>
      </c>
      <c r="E15" s="10" t="s">
        <v>24</v>
      </c>
      <c r="F15" s="10" t="s">
        <v>44</v>
      </c>
      <c r="G15" s="10" t="s">
        <v>86</v>
      </c>
      <c r="H15" s="11" t="s">
        <v>27</v>
      </c>
      <c r="I15" s="10" t="s">
        <v>28</v>
      </c>
      <c r="J15" s="8" t="n">
        <v>8</v>
      </c>
      <c r="K15" s="10" t="s">
        <v>87</v>
      </c>
      <c r="L15" s="10" t="s">
        <v>46</v>
      </c>
      <c r="M15" s="12"/>
      <c r="N15" s="10" t="s">
        <v>88</v>
      </c>
      <c r="O15" s="10" t="s">
        <v>89</v>
      </c>
      <c r="P15" s="10" t="s">
        <v>90</v>
      </c>
    </row>
    <row r="16" customFormat="false" ht="42" hidden="false" customHeight="true" outlineLevel="0" collapsed="false">
      <c r="A16" s="8" t="n">
        <v>11</v>
      </c>
      <c r="B16" s="9" t="s">
        <v>91</v>
      </c>
      <c r="C16" s="10" t="s">
        <v>92</v>
      </c>
      <c r="D16" s="10" t="s">
        <v>93</v>
      </c>
      <c r="E16" s="10" t="s">
        <v>51</v>
      </c>
      <c r="F16" s="10" t="s">
        <v>52</v>
      </c>
      <c r="G16" s="10" t="s">
        <v>94</v>
      </c>
      <c r="H16" s="11" t="s">
        <v>27</v>
      </c>
      <c r="I16" s="10" t="s">
        <v>28</v>
      </c>
      <c r="J16" s="8" t="n">
        <v>12</v>
      </c>
      <c r="K16" s="10" t="s">
        <v>87</v>
      </c>
      <c r="L16" s="10" t="s">
        <v>46</v>
      </c>
      <c r="M16" s="12"/>
      <c r="N16" s="10" t="s">
        <v>95</v>
      </c>
      <c r="O16" s="10" t="s">
        <v>77</v>
      </c>
      <c r="P16" s="10"/>
    </row>
    <row r="17" customFormat="false" ht="95.25" hidden="false" customHeight="true" outlineLevel="0" collapsed="false">
      <c r="A17" s="8" t="n">
        <v>12</v>
      </c>
      <c r="B17" s="9" t="s">
        <v>96</v>
      </c>
      <c r="C17" s="10" t="s">
        <v>97</v>
      </c>
      <c r="D17" s="10" t="s">
        <v>98</v>
      </c>
      <c r="E17" s="10" t="s">
        <v>51</v>
      </c>
      <c r="F17" s="10" t="s">
        <v>81</v>
      </c>
      <c r="G17" s="10" t="s">
        <v>82</v>
      </c>
      <c r="H17" s="11" t="s">
        <v>27</v>
      </c>
      <c r="I17" s="10" t="s">
        <v>63</v>
      </c>
      <c r="J17" s="8" t="n">
        <v>14</v>
      </c>
      <c r="K17" s="10" t="s">
        <v>87</v>
      </c>
      <c r="L17" s="10" t="s">
        <v>309</v>
      </c>
      <c r="M17" s="12"/>
      <c r="N17" s="10" t="s">
        <v>99</v>
      </c>
      <c r="O17" s="10" t="s">
        <v>77</v>
      </c>
      <c r="P17" s="10" t="s">
        <v>323</v>
      </c>
    </row>
    <row r="18" customFormat="false" ht="42" hidden="false" customHeight="true" outlineLevel="0" collapsed="false">
      <c r="A18" s="8" t="n">
        <v>13</v>
      </c>
      <c r="B18" s="9" t="s">
        <v>101</v>
      </c>
      <c r="C18" s="10" t="s">
        <v>102</v>
      </c>
      <c r="D18" s="10" t="s">
        <v>103</v>
      </c>
      <c r="E18" s="10" t="s">
        <v>51</v>
      </c>
      <c r="F18" s="10" t="s">
        <v>75</v>
      </c>
      <c r="G18" s="10" t="s">
        <v>104</v>
      </c>
      <c r="H18" s="11" t="s">
        <v>27</v>
      </c>
      <c r="I18" s="10" t="s">
        <v>69</v>
      </c>
      <c r="J18" s="8" t="n">
        <v>14</v>
      </c>
      <c r="K18" s="10" t="s">
        <v>87</v>
      </c>
      <c r="L18" s="10" t="s">
        <v>46</v>
      </c>
      <c r="M18" s="12"/>
      <c r="N18" s="10" t="s">
        <v>105</v>
      </c>
      <c r="O18" s="10" t="s">
        <v>77</v>
      </c>
      <c r="P18" s="10" t="s">
        <v>106</v>
      </c>
    </row>
    <row r="19" customFormat="false" ht="42" hidden="false" customHeight="true" outlineLevel="0" collapsed="false">
      <c r="A19" s="8" t="n">
        <v>14</v>
      </c>
      <c r="B19" s="9" t="s">
        <v>107</v>
      </c>
      <c r="C19" s="10" t="s">
        <v>108</v>
      </c>
      <c r="D19" s="10" t="s">
        <v>109</v>
      </c>
      <c r="E19" s="10" t="s">
        <v>51</v>
      </c>
      <c r="F19" s="10" t="s">
        <v>75</v>
      </c>
      <c r="G19" s="10" t="s">
        <v>110</v>
      </c>
      <c r="H19" s="11" t="s">
        <v>27</v>
      </c>
      <c r="I19" s="10" t="s">
        <v>69</v>
      </c>
      <c r="J19" s="8" t="n">
        <v>12</v>
      </c>
      <c r="K19" s="10" t="s">
        <v>87</v>
      </c>
      <c r="L19" s="10" t="s">
        <v>46</v>
      </c>
      <c r="M19" s="12"/>
      <c r="N19" s="10" t="s">
        <v>111</v>
      </c>
      <c r="O19" s="10" t="s">
        <v>77</v>
      </c>
      <c r="P19" s="10"/>
    </row>
    <row r="20" customFormat="false" ht="42" hidden="false" customHeight="true" outlineLevel="0" collapsed="false">
      <c r="A20" s="8" t="n">
        <v>15</v>
      </c>
      <c r="B20" s="9" t="s">
        <v>112</v>
      </c>
      <c r="C20" s="10" t="s">
        <v>113</v>
      </c>
      <c r="D20" s="10" t="s">
        <v>114</v>
      </c>
      <c r="E20" s="10" t="s">
        <v>51</v>
      </c>
      <c r="F20" s="10" t="s">
        <v>81</v>
      </c>
      <c r="G20" s="10" t="s">
        <v>82</v>
      </c>
      <c r="H20" s="11" t="s">
        <v>27</v>
      </c>
      <c r="I20" s="10" t="s">
        <v>63</v>
      </c>
      <c r="J20" s="8" t="n">
        <v>12</v>
      </c>
      <c r="K20" s="10" t="s">
        <v>87</v>
      </c>
      <c r="L20" s="10" t="s">
        <v>46</v>
      </c>
      <c r="M20" s="12"/>
      <c r="N20" s="10" t="s">
        <v>115</v>
      </c>
      <c r="O20" s="10" t="s">
        <v>77</v>
      </c>
      <c r="P20" s="10"/>
    </row>
    <row r="21" customFormat="false" ht="55.5" hidden="false" customHeight="true" outlineLevel="0" collapsed="false">
      <c r="A21" s="8" t="n">
        <v>16</v>
      </c>
      <c r="B21" s="9" t="s">
        <v>116</v>
      </c>
      <c r="C21" s="10" t="s">
        <v>117</v>
      </c>
      <c r="D21" s="10" t="s">
        <v>118</v>
      </c>
      <c r="E21" s="10" t="s">
        <v>24</v>
      </c>
      <c r="F21" s="10" t="s">
        <v>119</v>
      </c>
      <c r="G21" s="10" t="s">
        <v>120</v>
      </c>
      <c r="H21" s="11" t="s">
        <v>27</v>
      </c>
      <c r="I21" s="10" t="s">
        <v>63</v>
      </c>
      <c r="J21" s="8" t="n">
        <v>10</v>
      </c>
      <c r="K21" s="10" t="s">
        <v>87</v>
      </c>
      <c r="L21" s="10" t="s">
        <v>46</v>
      </c>
      <c r="M21" s="12"/>
      <c r="N21" s="10" t="s">
        <v>121</v>
      </c>
      <c r="O21" s="10" t="s">
        <v>122</v>
      </c>
      <c r="P21" s="10" t="s">
        <v>123</v>
      </c>
    </row>
    <row r="22" customFormat="false" ht="42" hidden="false" customHeight="true" outlineLevel="0" collapsed="false">
      <c r="A22" s="8" t="n">
        <v>17</v>
      </c>
      <c r="B22" s="9" t="s">
        <v>124</v>
      </c>
      <c r="C22" s="10" t="s">
        <v>125</v>
      </c>
      <c r="D22" s="10" t="s">
        <v>126</v>
      </c>
      <c r="E22" s="10" t="s">
        <v>51</v>
      </c>
      <c r="F22" s="10" t="s">
        <v>119</v>
      </c>
      <c r="G22" s="10" t="s">
        <v>127</v>
      </c>
      <c r="H22" s="11" t="s">
        <v>27</v>
      </c>
      <c r="I22" s="10" t="s">
        <v>69</v>
      </c>
      <c r="J22" s="8" t="n">
        <v>8</v>
      </c>
      <c r="K22" s="10" t="s">
        <v>87</v>
      </c>
      <c r="L22" s="10" t="s">
        <v>46</v>
      </c>
      <c r="M22" s="12"/>
      <c r="N22" s="10" t="s">
        <v>128</v>
      </c>
      <c r="O22" s="10" t="s">
        <v>129</v>
      </c>
      <c r="P22" s="10" t="s">
        <v>130</v>
      </c>
    </row>
    <row r="23" customFormat="false" ht="55.5" hidden="false" customHeight="true" outlineLevel="0" collapsed="false">
      <c r="A23" s="8" t="n">
        <v>18</v>
      </c>
      <c r="B23" s="9" t="s">
        <v>131</v>
      </c>
      <c r="C23" s="10" t="s">
        <v>132</v>
      </c>
      <c r="D23" s="10" t="s">
        <v>133</v>
      </c>
      <c r="E23" s="10" t="s">
        <v>51</v>
      </c>
      <c r="F23" s="10" t="s">
        <v>134</v>
      </c>
      <c r="G23" s="10" t="s">
        <v>135</v>
      </c>
      <c r="H23" s="11" t="s">
        <v>27</v>
      </c>
      <c r="I23" s="10" t="s">
        <v>28</v>
      </c>
      <c r="J23" s="8" t="n">
        <v>10</v>
      </c>
      <c r="K23" s="10" t="s">
        <v>87</v>
      </c>
      <c r="L23" s="10" t="s">
        <v>46</v>
      </c>
      <c r="M23" s="12"/>
      <c r="N23" s="10" t="s">
        <v>136</v>
      </c>
      <c r="O23" s="10" t="s">
        <v>137</v>
      </c>
      <c r="P23" s="10" t="s">
        <v>138</v>
      </c>
    </row>
    <row r="24" customFormat="false" ht="42" hidden="false" customHeight="true" outlineLevel="0" collapsed="false">
      <c r="A24" s="8" t="n">
        <v>19</v>
      </c>
      <c r="B24" s="9" t="s">
        <v>139</v>
      </c>
      <c r="C24" s="10" t="s">
        <v>140</v>
      </c>
      <c r="D24" s="10" t="s">
        <v>141</v>
      </c>
      <c r="E24" s="10" t="s">
        <v>24</v>
      </c>
      <c r="F24" s="10" t="s">
        <v>25</v>
      </c>
      <c r="G24" s="10" t="s">
        <v>142</v>
      </c>
      <c r="H24" s="11" t="s">
        <v>27</v>
      </c>
      <c r="I24" s="10" t="s">
        <v>28</v>
      </c>
      <c r="J24" s="8" t="n">
        <v>3</v>
      </c>
      <c r="K24" s="10" t="s">
        <v>143</v>
      </c>
      <c r="L24" s="10" t="s">
        <v>46</v>
      </c>
      <c r="M24" s="12"/>
      <c r="N24" s="10" t="s">
        <v>144</v>
      </c>
      <c r="O24" s="10" t="s">
        <v>145</v>
      </c>
      <c r="P24" s="10" t="s">
        <v>146</v>
      </c>
    </row>
    <row r="25" customFormat="false" ht="29.25" hidden="false" customHeight="true" outlineLevel="0" collapsed="false">
      <c r="A25" s="8" t="n">
        <v>20</v>
      </c>
      <c r="B25" s="9" t="s">
        <v>147</v>
      </c>
      <c r="C25" s="10" t="s">
        <v>148</v>
      </c>
      <c r="D25" s="10" t="s">
        <v>149</v>
      </c>
      <c r="E25" s="10" t="s">
        <v>51</v>
      </c>
      <c r="F25" s="10" t="s">
        <v>119</v>
      </c>
      <c r="G25" s="10" t="s">
        <v>150</v>
      </c>
      <c r="H25" s="11" t="s">
        <v>27</v>
      </c>
      <c r="I25" s="10" t="s">
        <v>69</v>
      </c>
      <c r="J25" s="8" t="n">
        <v>10</v>
      </c>
      <c r="K25" s="10" t="s">
        <v>143</v>
      </c>
      <c r="L25" s="10" t="s">
        <v>46</v>
      </c>
      <c r="M25" s="12"/>
      <c r="N25" s="10" t="s">
        <v>151</v>
      </c>
      <c r="O25" s="10" t="s">
        <v>129</v>
      </c>
      <c r="P25" s="10" t="s">
        <v>152</v>
      </c>
    </row>
    <row r="26" customFormat="false" ht="55.5" hidden="false" customHeight="true" outlineLevel="0" collapsed="false">
      <c r="A26" s="8" t="n">
        <v>21</v>
      </c>
      <c r="B26" s="9" t="s">
        <v>153</v>
      </c>
      <c r="C26" s="10" t="s">
        <v>154</v>
      </c>
      <c r="D26" s="10" t="s">
        <v>155</v>
      </c>
      <c r="E26" s="10" t="s">
        <v>51</v>
      </c>
      <c r="F26" s="10" t="s">
        <v>119</v>
      </c>
      <c r="G26" s="10" t="s">
        <v>150</v>
      </c>
      <c r="H26" s="11" t="s">
        <v>27</v>
      </c>
      <c r="I26" s="10" t="s">
        <v>63</v>
      </c>
      <c r="J26" s="8" t="n">
        <v>12</v>
      </c>
      <c r="K26" s="10" t="s">
        <v>143</v>
      </c>
      <c r="L26" s="10" t="s">
        <v>46</v>
      </c>
      <c r="M26" s="12"/>
      <c r="N26" s="10" t="s">
        <v>156</v>
      </c>
      <c r="O26" s="10" t="s">
        <v>129</v>
      </c>
      <c r="P26" s="10" t="s">
        <v>157</v>
      </c>
    </row>
    <row r="27" customFormat="false" ht="29.25" hidden="false" customHeight="true" outlineLevel="0" collapsed="false">
      <c r="A27" s="8" t="n">
        <v>22</v>
      </c>
      <c r="B27" s="9" t="s">
        <v>158</v>
      </c>
      <c r="C27" s="10" t="s">
        <v>159</v>
      </c>
      <c r="D27" s="10" t="s">
        <v>160</v>
      </c>
      <c r="E27" s="10" t="s">
        <v>51</v>
      </c>
      <c r="F27" s="10" t="s">
        <v>119</v>
      </c>
      <c r="G27" s="10" t="s">
        <v>161</v>
      </c>
      <c r="H27" s="11" t="s">
        <v>27</v>
      </c>
      <c r="I27" s="10" t="s">
        <v>69</v>
      </c>
      <c r="J27" s="8" t="n">
        <v>12</v>
      </c>
      <c r="K27" s="10" t="s">
        <v>143</v>
      </c>
      <c r="L27" s="10" t="s">
        <v>46</v>
      </c>
      <c r="M27" s="12"/>
      <c r="N27" s="10" t="s">
        <v>124</v>
      </c>
      <c r="O27" s="10" t="s">
        <v>162</v>
      </c>
      <c r="P27" s="10"/>
    </row>
    <row r="28" customFormat="false" ht="81.75" hidden="false" customHeight="true" outlineLevel="0" collapsed="false">
      <c r="A28" s="8" t="n">
        <v>23</v>
      </c>
      <c r="B28" s="9" t="s">
        <v>163</v>
      </c>
      <c r="C28" s="10" t="s">
        <v>164</v>
      </c>
      <c r="D28" s="10" t="s">
        <v>165</v>
      </c>
      <c r="E28" s="10" t="s">
        <v>51</v>
      </c>
      <c r="F28" s="10" t="s">
        <v>166</v>
      </c>
      <c r="G28" s="10" t="s">
        <v>167</v>
      </c>
      <c r="H28" s="11" t="s">
        <v>27</v>
      </c>
      <c r="I28" s="10" t="s">
        <v>28</v>
      </c>
      <c r="J28" s="8" t="n">
        <v>12</v>
      </c>
      <c r="K28" s="10" t="s">
        <v>143</v>
      </c>
      <c r="L28" s="10" t="s">
        <v>309</v>
      </c>
      <c r="M28" s="12"/>
      <c r="N28" s="10" t="s">
        <v>158</v>
      </c>
      <c r="O28" s="10" t="s">
        <v>168</v>
      </c>
      <c r="P28" s="10" t="s">
        <v>324</v>
      </c>
    </row>
    <row r="29" customFormat="false" ht="42" hidden="false" customHeight="true" outlineLevel="0" collapsed="false">
      <c r="A29" s="8" t="n">
        <v>24</v>
      </c>
      <c r="B29" s="9" t="s">
        <v>170</v>
      </c>
      <c r="C29" s="10" t="s">
        <v>171</v>
      </c>
      <c r="D29" s="10" t="s">
        <v>172</v>
      </c>
      <c r="E29" s="10" t="s">
        <v>51</v>
      </c>
      <c r="F29" s="10" t="s">
        <v>119</v>
      </c>
      <c r="G29" s="10" t="s">
        <v>173</v>
      </c>
      <c r="H29" s="11" t="s">
        <v>27</v>
      </c>
      <c r="I29" s="10" t="s">
        <v>69</v>
      </c>
      <c r="J29" s="8" t="n">
        <v>12</v>
      </c>
      <c r="K29" s="10" t="s">
        <v>143</v>
      </c>
      <c r="L29" s="10" t="s">
        <v>46</v>
      </c>
      <c r="M29" s="12"/>
      <c r="N29" s="10" t="s">
        <v>174</v>
      </c>
      <c r="O29" s="10" t="s">
        <v>175</v>
      </c>
      <c r="P29" s="10" t="s">
        <v>176</v>
      </c>
    </row>
    <row r="30" customFormat="false" ht="55.5" hidden="false" customHeight="true" outlineLevel="0" collapsed="false">
      <c r="A30" s="8" t="n">
        <v>25</v>
      </c>
      <c r="B30" s="9" t="s">
        <v>177</v>
      </c>
      <c r="C30" s="10" t="s">
        <v>178</v>
      </c>
      <c r="D30" s="10" t="s">
        <v>179</v>
      </c>
      <c r="E30" s="10" t="s">
        <v>51</v>
      </c>
      <c r="F30" s="10" t="s">
        <v>119</v>
      </c>
      <c r="G30" s="10" t="s">
        <v>142</v>
      </c>
      <c r="H30" s="11" t="s">
        <v>27</v>
      </c>
      <c r="I30" s="10" t="s">
        <v>69</v>
      </c>
      <c r="J30" s="8" t="n">
        <v>6</v>
      </c>
      <c r="K30" s="10" t="s">
        <v>143</v>
      </c>
      <c r="L30" s="10" t="s">
        <v>46</v>
      </c>
      <c r="M30" s="12"/>
      <c r="N30" s="10" t="s">
        <v>180</v>
      </c>
      <c r="O30" s="10" t="s">
        <v>145</v>
      </c>
      <c r="P30" s="10" t="s">
        <v>176</v>
      </c>
    </row>
    <row r="31" customFormat="false" ht="69" hidden="false" customHeight="true" outlineLevel="0" collapsed="false">
      <c r="A31" s="8" t="n">
        <v>26</v>
      </c>
      <c r="B31" s="9" t="s">
        <v>181</v>
      </c>
      <c r="C31" s="10" t="s">
        <v>182</v>
      </c>
      <c r="D31" s="10" t="s">
        <v>183</v>
      </c>
      <c r="E31" s="10" t="s">
        <v>51</v>
      </c>
      <c r="F31" s="10" t="s">
        <v>184</v>
      </c>
      <c r="G31" s="10" t="s">
        <v>185</v>
      </c>
      <c r="H31" s="11" t="s">
        <v>27</v>
      </c>
      <c r="I31" s="10" t="s">
        <v>63</v>
      </c>
      <c r="J31" s="8" t="n">
        <v>14</v>
      </c>
      <c r="K31" s="10" t="s">
        <v>143</v>
      </c>
      <c r="L31" s="10" t="s">
        <v>46</v>
      </c>
      <c r="M31" s="12"/>
      <c r="N31" s="10" t="s">
        <v>186</v>
      </c>
      <c r="O31" s="10" t="s">
        <v>145</v>
      </c>
      <c r="P31" s="10" t="s">
        <v>187</v>
      </c>
    </row>
    <row r="32" customFormat="false" ht="42" hidden="false" customHeight="true" outlineLevel="0" collapsed="false">
      <c r="A32" s="8" t="n">
        <v>27</v>
      </c>
      <c r="B32" s="9" t="s">
        <v>188</v>
      </c>
      <c r="C32" s="10" t="s">
        <v>189</v>
      </c>
      <c r="D32" s="10" t="s">
        <v>190</v>
      </c>
      <c r="E32" s="10" t="s">
        <v>51</v>
      </c>
      <c r="F32" s="10" t="s">
        <v>184</v>
      </c>
      <c r="G32" s="10" t="s">
        <v>191</v>
      </c>
      <c r="H32" s="11" t="s">
        <v>27</v>
      </c>
      <c r="I32" s="10" t="s">
        <v>63</v>
      </c>
      <c r="J32" s="8" t="n">
        <v>8</v>
      </c>
      <c r="K32" s="10" t="s">
        <v>143</v>
      </c>
      <c r="L32" s="10" t="s">
        <v>46</v>
      </c>
      <c r="M32" s="12"/>
      <c r="N32" s="10" t="s">
        <v>192</v>
      </c>
      <c r="O32" s="10" t="s">
        <v>145</v>
      </c>
      <c r="P32" s="10" t="s">
        <v>193</v>
      </c>
    </row>
    <row r="33" customFormat="false" ht="55.5" hidden="false" customHeight="true" outlineLevel="0" collapsed="false">
      <c r="A33" s="8" t="n">
        <v>28</v>
      </c>
      <c r="B33" s="9" t="s">
        <v>194</v>
      </c>
      <c r="C33" s="10" t="s">
        <v>195</v>
      </c>
      <c r="D33" s="10" t="s">
        <v>196</v>
      </c>
      <c r="E33" s="10" t="s">
        <v>51</v>
      </c>
      <c r="F33" s="10" t="s">
        <v>166</v>
      </c>
      <c r="G33" s="10" t="s">
        <v>197</v>
      </c>
      <c r="H33" s="11" t="s">
        <v>27</v>
      </c>
      <c r="I33" s="10" t="s">
        <v>28</v>
      </c>
      <c r="J33" s="8" t="n">
        <v>4</v>
      </c>
      <c r="K33" s="10" t="s">
        <v>143</v>
      </c>
      <c r="L33" s="10" t="s">
        <v>46</v>
      </c>
      <c r="M33" s="12"/>
      <c r="N33" s="10" t="s">
        <v>163</v>
      </c>
      <c r="O33" s="10" t="s">
        <v>198</v>
      </c>
      <c r="P33" s="10" t="s">
        <v>199</v>
      </c>
    </row>
    <row r="34" customFormat="false" ht="55.5" hidden="false" customHeight="true" outlineLevel="0" collapsed="false">
      <c r="A34" s="8" t="n">
        <v>29</v>
      </c>
      <c r="B34" s="9" t="s">
        <v>200</v>
      </c>
      <c r="C34" s="10" t="s">
        <v>201</v>
      </c>
      <c r="D34" s="10" t="s">
        <v>202</v>
      </c>
      <c r="E34" s="10" t="s">
        <v>51</v>
      </c>
      <c r="F34" s="10" t="s">
        <v>119</v>
      </c>
      <c r="G34" s="10" t="s">
        <v>203</v>
      </c>
      <c r="H34" s="11" t="s">
        <v>27</v>
      </c>
      <c r="I34" s="10" t="s">
        <v>28</v>
      </c>
      <c r="J34" s="8" t="n">
        <v>6</v>
      </c>
      <c r="K34" s="10" t="s">
        <v>143</v>
      </c>
      <c r="L34" s="10" t="s">
        <v>46</v>
      </c>
      <c r="M34" s="12"/>
      <c r="N34" s="10" t="s">
        <v>204</v>
      </c>
      <c r="O34" s="10" t="s">
        <v>205</v>
      </c>
      <c r="P34" s="10" t="s">
        <v>206</v>
      </c>
    </row>
    <row r="35" customFormat="false" ht="42" hidden="false" customHeight="true" outlineLevel="0" collapsed="false">
      <c r="A35" s="8" t="n">
        <v>30</v>
      </c>
      <c r="B35" s="9" t="s">
        <v>207</v>
      </c>
      <c r="C35" s="10" t="s">
        <v>208</v>
      </c>
      <c r="D35" s="10" t="s">
        <v>209</v>
      </c>
      <c r="E35" s="10" t="s">
        <v>24</v>
      </c>
      <c r="F35" s="10" t="s">
        <v>44</v>
      </c>
      <c r="G35" s="10" t="s">
        <v>86</v>
      </c>
      <c r="H35" s="11" t="s">
        <v>27</v>
      </c>
      <c r="I35" s="10" t="s">
        <v>28</v>
      </c>
      <c r="J35" s="8" t="n">
        <v>4</v>
      </c>
      <c r="K35" s="10" t="s">
        <v>143</v>
      </c>
      <c r="L35" s="10" t="s">
        <v>46</v>
      </c>
      <c r="M35" s="12"/>
      <c r="N35" s="10" t="s">
        <v>210</v>
      </c>
      <c r="O35" s="10" t="s">
        <v>137</v>
      </c>
      <c r="P35" s="10"/>
    </row>
    <row r="36" customFormat="false" ht="42" hidden="false" customHeight="true" outlineLevel="0" collapsed="false">
      <c r="A36" s="8" t="n">
        <v>31</v>
      </c>
      <c r="B36" s="9" t="s">
        <v>211</v>
      </c>
      <c r="C36" s="10" t="s">
        <v>212</v>
      </c>
      <c r="D36" s="10" t="s">
        <v>213</v>
      </c>
      <c r="E36" s="10" t="s">
        <v>24</v>
      </c>
      <c r="F36" s="10" t="s">
        <v>44</v>
      </c>
      <c r="G36" s="10" t="s">
        <v>86</v>
      </c>
      <c r="H36" s="11" t="s">
        <v>27</v>
      </c>
      <c r="I36" s="10" t="s">
        <v>63</v>
      </c>
      <c r="J36" s="8" t="n">
        <v>6</v>
      </c>
      <c r="K36" s="10" t="s">
        <v>143</v>
      </c>
      <c r="L36" s="10" t="s">
        <v>46</v>
      </c>
      <c r="M36" s="12"/>
      <c r="N36" s="10" t="s">
        <v>181</v>
      </c>
      <c r="O36" s="10" t="s">
        <v>145</v>
      </c>
      <c r="P36" s="10" t="s">
        <v>176</v>
      </c>
    </row>
    <row r="37" customFormat="false" ht="42" hidden="false" customHeight="true" outlineLevel="0" collapsed="false">
      <c r="A37" s="8" t="n">
        <v>32</v>
      </c>
      <c r="B37" s="9" t="s">
        <v>214</v>
      </c>
      <c r="C37" s="10" t="s">
        <v>215</v>
      </c>
      <c r="D37" s="10" t="s">
        <v>216</v>
      </c>
      <c r="E37" s="10" t="s">
        <v>51</v>
      </c>
      <c r="F37" s="10" t="s">
        <v>52</v>
      </c>
      <c r="G37" s="10" t="s">
        <v>217</v>
      </c>
      <c r="H37" s="11" t="s">
        <v>27</v>
      </c>
      <c r="I37" s="10" t="s">
        <v>28</v>
      </c>
      <c r="J37" s="8" t="n">
        <v>6</v>
      </c>
      <c r="K37" s="10" t="s">
        <v>218</v>
      </c>
      <c r="L37" s="10" t="s">
        <v>46</v>
      </c>
      <c r="M37" s="12"/>
      <c r="N37" s="10" t="s">
        <v>55</v>
      </c>
      <c r="O37" s="10" t="s">
        <v>219</v>
      </c>
      <c r="P37" s="10" t="s">
        <v>220</v>
      </c>
    </row>
    <row r="38" customFormat="false" ht="69" hidden="false" customHeight="true" outlineLevel="0" collapsed="false">
      <c r="A38" s="8" t="n">
        <v>33</v>
      </c>
      <c r="B38" s="9" t="s">
        <v>221</v>
      </c>
      <c r="C38" s="10" t="s">
        <v>222</v>
      </c>
      <c r="D38" s="10" t="s">
        <v>223</v>
      </c>
      <c r="E38" s="10" t="s">
        <v>51</v>
      </c>
      <c r="F38" s="10" t="s">
        <v>52</v>
      </c>
      <c r="G38" s="10" t="s">
        <v>217</v>
      </c>
      <c r="H38" s="11" t="s">
        <v>27</v>
      </c>
      <c r="I38" s="10" t="s">
        <v>63</v>
      </c>
      <c r="J38" s="8" t="n">
        <v>19</v>
      </c>
      <c r="K38" s="10" t="s">
        <v>218</v>
      </c>
      <c r="L38" s="10" t="s">
        <v>46</v>
      </c>
      <c r="M38" s="12"/>
      <c r="N38" s="10" t="s">
        <v>224</v>
      </c>
      <c r="O38" s="10" t="s">
        <v>219</v>
      </c>
      <c r="P38" s="10" t="s">
        <v>225</v>
      </c>
    </row>
    <row r="39" customFormat="false" ht="55.5" hidden="false" customHeight="true" outlineLevel="0" collapsed="false">
      <c r="A39" s="8" t="n">
        <v>34</v>
      </c>
      <c r="B39" s="9" t="s">
        <v>226</v>
      </c>
      <c r="C39" s="10" t="s">
        <v>227</v>
      </c>
      <c r="D39" s="10" t="s">
        <v>228</v>
      </c>
      <c r="E39" s="10" t="s">
        <v>24</v>
      </c>
      <c r="F39" s="10" t="s">
        <v>44</v>
      </c>
      <c r="G39" s="10" t="s">
        <v>229</v>
      </c>
      <c r="H39" s="11" t="s">
        <v>27</v>
      </c>
      <c r="I39" s="10" t="s">
        <v>28</v>
      </c>
      <c r="J39" s="8" t="n">
        <v>8</v>
      </c>
      <c r="K39" s="10" t="s">
        <v>218</v>
      </c>
      <c r="L39" s="10" t="s">
        <v>46</v>
      </c>
      <c r="M39" s="12"/>
      <c r="N39" s="10" t="s">
        <v>230</v>
      </c>
      <c r="O39" s="10" t="s">
        <v>32</v>
      </c>
      <c r="P39" s="10" t="s">
        <v>231</v>
      </c>
    </row>
    <row r="40" customFormat="false" ht="42" hidden="false" customHeight="true" outlineLevel="0" collapsed="false">
      <c r="A40" s="8" t="n">
        <v>35</v>
      </c>
      <c r="B40" s="9" t="s">
        <v>232</v>
      </c>
      <c r="C40" s="10" t="s">
        <v>233</v>
      </c>
      <c r="D40" s="10" t="s">
        <v>234</v>
      </c>
      <c r="E40" s="10" t="s">
        <v>24</v>
      </c>
      <c r="F40" s="10" t="s">
        <v>44</v>
      </c>
      <c r="G40" s="10" t="s">
        <v>235</v>
      </c>
      <c r="H40" s="11" t="s">
        <v>27</v>
      </c>
      <c r="I40" s="10" t="s">
        <v>69</v>
      </c>
      <c r="J40" s="8" t="n">
        <v>10</v>
      </c>
      <c r="K40" s="10" t="s">
        <v>218</v>
      </c>
      <c r="L40" s="10" t="s">
        <v>46</v>
      </c>
      <c r="M40" s="12"/>
      <c r="N40" s="10" t="s">
        <v>236</v>
      </c>
      <c r="O40" s="10" t="s">
        <v>32</v>
      </c>
      <c r="P40" s="10" t="s">
        <v>237</v>
      </c>
    </row>
    <row r="41" customFormat="false" ht="42" hidden="false" customHeight="true" outlineLevel="0" collapsed="false">
      <c r="A41" s="8" t="n">
        <v>36</v>
      </c>
      <c r="B41" s="9" t="s">
        <v>238</v>
      </c>
      <c r="C41" s="10" t="s">
        <v>239</v>
      </c>
      <c r="D41" s="10" t="s">
        <v>240</v>
      </c>
      <c r="E41" s="10" t="s">
        <v>51</v>
      </c>
      <c r="F41" s="10" t="s">
        <v>44</v>
      </c>
      <c r="G41" s="10" t="s">
        <v>241</v>
      </c>
      <c r="H41" s="11" t="s">
        <v>27</v>
      </c>
      <c r="I41" s="10" t="s">
        <v>69</v>
      </c>
      <c r="J41" s="8" t="n">
        <v>8</v>
      </c>
      <c r="K41" s="10" t="s">
        <v>218</v>
      </c>
      <c r="L41" s="10" t="s">
        <v>46</v>
      </c>
      <c r="M41" s="12"/>
      <c r="N41" s="10" t="s">
        <v>242</v>
      </c>
      <c r="O41" s="10" t="s">
        <v>32</v>
      </c>
      <c r="P41" s="10" t="s">
        <v>237</v>
      </c>
    </row>
    <row r="42" customFormat="false" ht="29.25" hidden="false" customHeight="true" outlineLevel="0" collapsed="false">
      <c r="A42" s="8" t="n">
        <v>37</v>
      </c>
      <c r="B42" s="9" t="s">
        <v>243</v>
      </c>
      <c r="C42" s="10" t="s">
        <v>244</v>
      </c>
      <c r="D42" s="10" t="s">
        <v>245</v>
      </c>
      <c r="E42" s="10" t="s">
        <v>246</v>
      </c>
      <c r="F42" s="10" t="s">
        <v>44</v>
      </c>
      <c r="G42" s="10" t="s">
        <v>31</v>
      </c>
      <c r="H42" s="11" t="s">
        <v>27</v>
      </c>
      <c r="I42" s="10" t="s">
        <v>28</v>
      </c>
      <c r="J42" s="8" t="n">
        <v>6</v>
      </c>
      <c r="K42" s="10" t="s">
        <v>247</v>
      </c>
      <c r="L42" s="10" t="s">
        <v>46</v>
      </c>
      <c r="M42" s="12"/>
      <c r="N42" s="10" t="s">
        <v>248</v>
      </c>
      <c r="O42" s="10" t="s">
        <v>249</v>
      </c>
      <c r="P42" s="10" t="s">
        <v>250</v>
      </c>
    </row>
    <row r="43" customFormat="false" ht="15" hidden="false" customHeight="false" outlineLevel="0" collapsed="false">
      <c r="C43" s="13" t="s">
        <v>251</v>
      </c>
      <c r="J43" s="14" t="n">
        <f aca="false">SUM(J6:J42)</f>
        <v>355</v>
      </c>
    </row>
    <row r="45" customFormat="false" ht="15" hidden="false" customHeight="false" outlineLevel="0" collapsed="false">
      <c r="A45" s="15" t="s">
        <v>252</v>
      </c>
    </row>
    <row r="46" customFormat="false" ht="30" hidden="false" customHeight="true" outlineLevel="0" collapsed="false">
      <c r="A46" s="7" t="s">
        <v>5</v>
      </c>
      <c r="B46" s="7" t="s">
        <v>6</v>
      </c>
      <c r="C46" s="7" t="s">
        <v>7</v>
      </c>
      <c r="D46" s="7" t="s">
        <v>8</v>
      </c>
      <c r="E46" s="7" t="s">
        <v>9</v>
      </c>
      <c r="F46" s="7" t="s">
        <v>10</v>
      </c>
      <c r="G46" s="7" t="s">
        <v>11</v>
      </c>
      <c r="H46" s="7" t="s">
        <v>12</v>
      </c>
      <c r="I46" s="7" t="s">
        <v>13</v>
      </c>
      <c r="J46" s="7" t="s">
        <v>14</v>
      </c>
      <c r="K46" s="7" t="s">
        <v>15</v>
      </c>
      <c r="L46" s="7" t="s">
        <v>16</v>
      </c>
      <c r="M46" s="7" t="s">
        <v>17</v>
      </c>
      <c r="N46" s="7" t="s">
        <v>18</v>
      </c>
      <c r="O46" s="7" t="s">
        <v>19</v>
      </c>
      <c r="P46" s="7" t="s">
        <v>20</v>
      </c>
    </row>
    <row r="47" customFormat="false" ht="29.25" hidden="false" customHeight="true" outlineLevel="0" collapsed="false">
      <c r="A47" s="11" t="s">
        <v>31</v>
      </c>
      <c r="B47" s="9" t="s">
        <v>253</v>
      </c>
      <c r="C47" s="10" t="s">
        <v>254</v>
      </c>
      <c r="D47" s="10" t="s">
        <v>31</v>
      </c>
      <c r="E47" s="10" t="s">
        <v>255</v>
      </c>
      <c r="F47" s="10" t="s">
        <v>134</v>
      </c>
      <c r="G47" s="10" t="s">
        <v>253</v>
      </c>
      <c r="H47" s="11" t="s">
        <v>256</v>
      </c>
      <c r="I47" s="10" t="s">
        <v>31</v>
      </c>
      <c r="J47" s="11"/>
      <c r="K47" s="10" t="s">
        <v>257</v>
      </c>
      <c r="L47" s="10" t="s">
        <v>257</v>
      </c>
      <c r="M47" s="10"/>
      <c r="N47" s="10" t="s">
        <v>31</v>
      </c>
      <c r="O47" s="10" t="s">
        <v>31</v>
      </c>
      <c r="P47" s="10"/>
    </row>
    <row r="48" customFormat="false" ht="29.25" hidden="false" customHeight="true" outlineLevel="0" collapsed="false">
      <c r="A48" s="11" t="s">
        <v>31</v>
      </c>
      <c r="B48" s="9" t="s">
        <v>258</v>
      </c>
      <c r="C48" s="10" t="s">
        <v>259</v>
      </c>
      <c r="D48" s="10" t="s">
        <v>31</v>
      </c>
      <c r="E48" s="10" t="s">
        <v>255</v>
      </c>
      <c r="F48" s="10" t="s">
        <v>119</v>
      </c>
      <c r="G48" s="10" t="s">
        <v>258</v>
      </c>
      <c r="H48" s="11" t="s">
        <v>256</v>
      </c>
      <c r="I48" s="10" t="s">
        <v>31</v>
      </c>
      <c r="J48" s="11"/>
      <c r="K48" s="10" t="s">
        <v>257</v>
      </c>
      <c r="L48" s="10" t="s">
        <v>257</v>
      </c>
      <c r="M48" s="10"/>
      <c r="N48" s="10" t="s">
        <v>31</v>
      </c>
      <c r="O48" s="10" t="s">
        <v>31</v>
      </c>
      <c r="P48" s="10"/>
    </row>
    <row r="49" customFormat="false" ht="42" hidden="false" customHeight="true" outlineLevel="0" collapsed="false">
      <c r="A49" s="11" t="s">
        <v>31</v>
      </c>
      <c r="B49" s="9" t="s">
        <v>260</v>
      </c>
      <c r="C49" s="10" t="s">
        <v>261</v>
      </c>
      <c r="D49" s="10" t="s">
        <v>31</v>
      </c>
      <c r="E49" s="10" t="s">
        <v>255</v>
      </c>
      <c r="F49" s="10" t="s">
        <v>81</v>
      </c>
      <c r="G49" s="10" t="s">
        <v>260</v>
      </c>
      <c r="H49" s="11" t="s">
        <v>256</v>
      </c>
      <c r="I49" s="10" t="s">
        <v>31</v>
      </c>
      <c r="J49" s="11"/>
      <c r="K49" s="10" t="s">
        <v>257</v>
      </c>
      <c r="L49" s="10" t="s">
        <v>257</v>
      </c>
      <c r="M49" s="10"/>
      <c r="N49" s="10" t="s">
        <v>31</v>
      </c>
      <c r="O49" s="10" t="s">
        <v>31</v>
      </c>
      <c r="P49" s="10"/>
    </row>
    <row r="50" customFormat="false" ht="42" hidden="false" customHeight="true" outlineLevel="0" collapsed="false">
      <c r="A50" s="11" t="s">
        <v>31</v>
      </c>
      <c r="B50" s="9" t="s">
        <v>262</v>
      </c>
      <c r="C50" s="10" t="s">
        <v>263</v>
      </c>
      <c r="D50" s="10" t="s">
        <v>31</v>
      </c>
      <c r="E50" s="10" t="s">
        <v>255</v>
      </c>
      <c r="F50" s="10" t="s">
        <v>119</v>
      </c>
      <c r="G50" s="10" t="s">
        <v>262</v>
      </c>
      <c r="H50" s="11" t="s">
        <v>256</v>
      </c>
      <c r="I50" s="10" t="s">
        <v>31</v>
      </c>
      <c r="J50" s="11"/>
      <c r="K50" s="10" t="s">
        <v>257</v>
      </c>
      <c r="L50" s="10" t="s">
        <v>257</v>
      </c>
      <c r="M50" s="10"/>
      <c r="N50" s="10" t="s">
        <v>31</v>
      </c>
      <c r="O50" s="10" t="s">
        <v>31</v>
      </c>
      <c r="P50" s="10"/>
    </row>
    <row r="51" customFormat="false" ht="42" hidden="false" customHeight="true" outlineLevel="0" collapsed="false">
      <c r="A51" s="11" t="s">
        <v>31</v>
      </c>
      <c r="B51" s="9" t="s">
        <v>264</v>
      </c>
      <c r="C51" s="10" t="s">
        <v>265</v>
      </c>
      <c r="D51" s="10" t="s">
        <v>31</v>
      </c>
      <c r="E51" s="10" t="s">
        <v>255</v>
      </c>
      <c r="F51" s="10" t="s">
        <v>52</v>
      </c>
      <c r="G51" s="10" t="s">
        <v>264</v>
      </c>
      <c r="H51" s="11" t="s">
        <v>266</v>
      </c>
      <c r="I51" s="10" t="s">
        <v>31</v>
      </c>
      <c r="J51" s="11"/>
      <c r="K51" s="10" t="s">
        <v>257</v>
      </c>
      <c r="L51" s="10" t="s">
        <v>257</v>
      </c>
      <c r="M51" s="10"/>
      <c r="N51" s="10" t="s">
        <v>31</v>
      </c>
      <c r="O51" s="10" t="s">
        <v>31</v>
      </c>
      <c r="P51" s="10"/>
    </row>
    <row r="52" customFormat="false" ht="29.25" hidden="false" customHeight="true" outlineLevel="0" collapsed="false">
      <c r="A52" s="11" t="s">
        <v>31</v>
      </c>
      <c r="B52" s="9" t="s">
        <v>267</v>
      </c>
      <c r="C52" s="10" t="s">
        <v>268</v>
      </c>
      <c r="D52" s="10" t="s">
        <v>31</v>
      </c>
      <c r="E52" s="10" t="s">
        <v>255</v>
      </c>
      <c r="F52" s="10" t="s">
        <v>166</v>
      </c>
      <c r="G52" s="10" t="s">
        <v>267</v>
      </c>
      <c r="H52" s="11" t="s">
        <v>269</v>
      </c>
      <c r="I52" s="10" t="s">
        <v>31</v>
      </c>
      <c r="J52" s="11"/>
      <c r="K52" s="10" t="s">
        <v>257</v>
      </c>
      <c r="L52" s="10" t="s">
        <v>257</v>
      </c>
      <c r="M52" s="10"/>
      <c r="N52" s="10" t="s">
        <v>31</v>
      </c>
      <c r="O52" s="10" t="s">
        <v>31</v>
      </c>
      <c r="P52" s="10"/>
    </row>
    <row r="53" customFormat="false" ht="42" hidden="false" customHeight="true" outlineLevel="0" collapsed="false">
      <c r="A53" s="11" t="s">
        <v>31</v>
      </c>
      <c r="B53" s="9" t="s">
        <v>270</v>
      </c>
      <c r="C53" s="10" t="s">
        <v>271</v>
      </c>
      <c r="D53" s="10" t="s">
        <v>31</v>
      </c>
      <c r="E53" s="10" t="s">
        <v>255</v>
      </c>
      <c r="F53" s="10" t="s">
        <v>52</v>
      </c>
      <c r="G53" s="10" t="s">
        <v>270</v>
      </c>
      <c r="H53" s="11" t="s">
        <v>269</v>
      </c>
      <c r="I53" s="10" t="s">
        <v>31</v>
      </c>
      <c r="J53" s="11"/>
      <c r="K53" s="10" t="s">
        <v>257</v>
      </c>
      <c r="L53" s="10" t="s">
        <v>257</v>
      </c>
      <c r="M53" s="10"/>
      <c r="N53" s="10" t="s">
        <v>31</v>
      </c>
      <c r="O53" s="10" t="s">
        <v>31</v>
      </c>
      <c r="P53" s="10"/>
    </row>
  </sheetData>
  <autoFilter ref="A5:P42"/>
  <conditionalFormatting sqref="L6:L42">
    <cfRule type="cellIs" priority="2" operator="equal" aboveAverage="0" equalAverage="0" bottom="0" percent="0" rank="0" text="" dxfId="5">
      <formula>"Listo"</formula>
    </cfRule>
    <cfRule type="cellIs" priority="3" operator="equal" aboveAverage="0" equalAverage="0" bottom="0" percent="0" rank="0" text="" dxfId="6">
      <formula>"En curso"</formula>
    </cfRule>
    <cfRule type="cellIs" priority="4" operator="equal" aboveAverage="0" equalAverage="0" bottom="0" percent="0" rank="0" text="" dxfId="7">
      <formula>"En revisión"</formula>
    </cfRule>
  </conditionalFormatting>
  <dataValidations count="3">
    <dataValidation allowBlank="true" error="Elige un valor de la lista." errorStyle="stop" errorTitle="Valor no válido" operator="between" showDropDown="false" showErrorMessage="false" showInputMessage="false" sqref="L6:L42" type="list">
      <formula1>"Por hacer,En curso,En revisión,Listo"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I6:I42" type="list">
      <formula1>"Bryan,Francisco,Damaris"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K6:K42" type="list">
      <formula1>"Cimientos,Sprint 1,Sprint 2,Sprint 3,Sprint 4,Sem. 14–15"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3"/>
  </cols>
  <sheetData>
    <row r="1" customFormat="false" ht="17.3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2" t="s">
        <v>273</v>
      </c>
    </row>
    <row r="4" customFormat="false" ht="15" hidden="false" customHeight="false" outlineLevel="0" collapsed="false">
      <c r="A4" s="15" t="s">
        <v>274</v>
      </c>
    </row>
    <row r="5" customFormat="false" ht="15" hidden="false" customHeight="false" outlineLevel="0" collapsed="false">
      <c r="A5" s="7" t="s">
        <v>15</v>
      </c>
      <c r="B5" s="7" t="s">
        <v>28</v>
      </c>
      <c r="C5" s="7" t="s">
        <v>63</v>
      </c>
      <c r="D5" s="7" t="s">
        <v>69</v>
      </c>
      <c r="E5" s="7" t="s">
        <v>251</v>
      </c>
      <c r="F5" s="7" t="s">
        <v>275</v>
      </c>
      <c r="G5" s="7" t="s">
        <v>276</v>
      </c>
      <c r="H5" s="7" t="s">
        <v>277</v>
      </c>
    </row>
    <row r="6" customFormat="false" ht="15" hidden="false" customHeight="false" outlineLevel="0" collapsed="false">
      <c r="A6" s="16" t="s">
        <v>29</v>
      </c>
      <c r="B6" s="17" t="n">
        <f aca="false">SUMIFS('Product Backlog'!$J$6:$J$42,'Product Backlog'!$K$6:$K$42,$A6,'Product Backlog'!$I$6:$I$42,B$5)</f>
        <v>18</v>
      </c>
      <c r="C6" s="17" t="n">
        <f aca="false">SUMIFS('Product Backlog'!$J$6:$J$42,'Product Backlog'!$K$6:$K$42,$A6,'Product Backlog'!$I$6:$I$42,C$5)</f>
        <v>0</v>
      </c>
      <c r="D6" s="17" t="n">
        <f aca="false">SUMIFS('Product Backlog'!$J$6:$J$42,'Product Backlog'!$K$6:$K$42,$A6,'Product Backlog'!$I$6:$I$42,D$5)</f>
        <v>0</v>
      </c>
      <c r="E6" s="14" t="n">
        <f aca="false">SUM(B6:D6)</f>
        <v>18</v>
      </c>
      <c r="F6" s="17" t="n">
        <f aca="false">SUMIFS('Product Backlog'!$J$6:$J$42,'Product Backlog'!$K$6:$K$42,$A6,'Product Backlog'!$L$6:$L$42,"Listo")</f>
        <v>18</v>
      </c>
      <c r="G6" s="17" t="n">
        <f aca="false">E6-F6</f>
        <v>0</v>
      </c>
      <c r="H6" s="18" t="n">
        <f aca="false">IF(E6=0,0,F6/E6)</f>
        <v>1</v>
      </c>
    </row>
    <row r="7" customFormat="false" ht="15" hidden="false" customHeight="false" outlineLevel="0" collapsed="false">
      <c r="A7" s="16" t="s">
        <v>38</v>
      </c>
      <c r="B7" s="17" t="n">
        <f aca="false">SUMIFS('Product Backlog'!$J$6:$J$42,'Product Backlog'!$K$6:$K$42,$A7,'Product Backlog'!$I$6:$I$42,B$5)</f>
        <v>25</v>
      </c>
      <c r="C7" s="17" t="n">
        <f aca="false">SUMIFS('Product Backlog'!$J$6:$J$42,'Product Backlog'!$K$6:$K$42,$A7,'Product Backlog'!$I$6:$I$42,C$5)</f>
        <v>22</v>
      </c>
      <c r="D7" s="17" t="n">
        <f aca="false">SUMIFS('Product Backlog'!$J$6:$J$42,'Product Backlog'!$K$6:$K$42,$A7,'Product Backlog'!$I$6:$I$42,D$5)</f>
        <v>24</v>
      </c>
      <c r="E7" s="14" t="n">
        <f aca="false">SUM(B7:D7)</f>
        <v>71</v>
      </c>
      <c r="F7" s="17" t="n">
        <f aca="false">SUMIFS('Product Backlog'!$J$6:$J$42,'Product Backlog'!$K$6:$K$42,$A7,'Product Backlog'!$L$6:$L$42,"Listo")</f>
        <v>3</v>
      </c>
      <c r="G7" s="17" t="n">
        <f aca="false">E7-F7</f>
        <v>68</v>
      </c>
      <c r="H7" s="18" t="n">
        <f aca="false">IF(E7=0,0,F7/E7)</f>
        <v>0.0422535211267606</v>
      </c>
    </row>
    <row r="8" customFormat="false" ht="15" hidden="false" customHeight="false" outlineLevel="0" collapsed="false">
      <c r="A8" s="16" t="s">
        <v>87</v>
      </c>
      <c r="B8" s="17" t="n">
        <f aca="false">SUMIFS('Product Backlog'!$J$6:$J$42,'Product Backlog'!$K$6:$K$42,$A8,'Product Backlog'!$I$6:$I$42,B$5)</f>
        <v>30</v>
      </c>
      <c r="C8" s="17" t="n">
        <f aca="false">SUMIFS('Product Backlog'!$J$6:$J$42,'Product Backlog'!$K$6:$K$42,$A8,'Product Backlog'!$I$6:$I$42,C$5)</f>
        <v>36</v>
      </c>
      <c r="D8" s="17" t="n">
        <f aca="false">SUMIFS('Product Backlog'!$J$6:$J$42,'Product Backlog'!$K$6:$K$42,$A8,'Product Backlog'!$I$6:$I$42,D$5)</f>
        <v>34</v>
      </c>
      <c r="E8" s="14" t="n">
        <f aca="false">SUM(B8:D8)</f>
        <v>100</v>
      </c>
      <c r="F8" s="17" t="n">
        <f aca="false">SUMIFS('Product Backlog'!$J$6:$J$42,'Product Backlog'!$K$6:$K$42,$A8,'Product Backlog'!$L$6:$L$42,"Listo")</f>
        <v>0</v>
      </c>
      <c r="G8" s="17" t="n">
        <f aca="false">E8-F8</f>
        <v>100</v>
      </c>
      <c r="H8" s="18" t="n">
        <f aca="false">IF(E8=0,0,F8/E8)</f>
        <v>0</v>
      </c>
    </row>
    <row r="9" customFormat="false" ht="15" hidden="false" customHeight="false" outlineLevel="0" collapsed="false">
      <c r="A9" s="16" t="s">
        <v>143</v>
      </c>
      <c r="B9" s="17" t="n">
        <f aca="false">SUMIFS('Product Backlog'!$J$6:$J$42,'Product Backlog'!$K$6:$K$42,$A9,'Product Backlog'!$I$6:$I$42,B$5)</f>
        <v>29</v>
      </c>
      <c r="C9" s="17" t="n">
        <f aca="false">SUMIFS('Product Backlog'!$J$6:$J$42,'Product Backlog'!$K$6:$K$42,$A9,'Product Backlog'!$I$6:$I$42,C$5)</f>
        <v>40</v>
      </c>
      <c r="D9" s="17" t="n">
        <f aca="false">SUMIFS('Product Backlog'!$J$6:$J$42,'Product Backlog'!$K$6:$K$42,$A9,'Product Backlog'!$I$6:$I$42,D$5)</f>
        <v>40</v>
      </c>
      <c r="E9" s="14" t="n">
        <f aca="false">SUM(B9:D9)</f>
        <v>109</v>
      </c>
      <c r="F9" s="17" t="n">
        <f aca="false">SUMIFS('Product Backlog'!$J$6:$J$42,'Product Backlog'!$K$6:$K$42,$A9,'Product Backlog'!$L$6:$L$42,"Listo")</f>
        <v>0</v>
      </c>
      <c r="G9" s="17" t="n">
        <f aca="false">E9-F9</f>
        <v>109</v>
      </c>
      <c r="H9" s="18" t="n">
        <f aca="false">IF(E9=0,0,F9/E9)</f>
        <v>0</v>
      </c>
    </row>
    <row r="10" customFormat="false" ht="15" hidden="false" customHeight="false" outlineLevel="0" collapsed="false">
      <c r="A10" s="16" t="s">
        <v>218</v>
      </c>
      <c r="B10" s="17" t="n">
        <f aca="false">SUMIFS('Product Backlog'!$J$6:$J$42,'Product Backlog'!$K$6:$K$42,$A10,'Product Backlog'!$I$6:$I$42,B$5)</f>
        <v>14</v>
      </c>
      <c r="C10" s="17" t="n">
        <f aca="false">SUMIFS('Product Backlog'!$J$6:$J$42,'Product Backlog'!$K$6:$K$42,$A10,'Product Backlog'!$I$6:$I$42,C$5)</f>
        <v>19</v>
      </c>
      <c r="D10" s="17" t="n">
        <f aca="false">SUMIFS('Product Backlog'!$J$6:$J$42,'Product Backlog'!$K$6:$K$42,$A10,'Product Backlog'!$I$6:$I$42,D$5)</f>
        <v>18</v>
      </c>
      <c r="E10" s="14" t="n">
        <f aca="false">SUM(B10:D10)</f>
        <v>51</v>
      </c>
      <c r="F10" s="17" t="n">
        <f aca="false">SUMIFS('Product Backlog'!$J$6:$J$42,'Product Backlog'!$K$6:$K$42,$A10,'Product Backlog'!$L$6:$L$42,"Listo")</f>
        <v>0</v>
      </c>
      <c r="G10" s="17" t="n">
        <f aca="false">E10-F10</f>
        <v>51</v>
      </c>
      <c r="H10" s="18" t="n">
        <f aca="false">IF(E10=0,0,F10/E10)</f>
        <v>0</v>
      </c>
    </row>
    <row r="11" customFormat="false" ht="15" hidden="false" customHeight="false" outlineLevel="0" collapsed="false">
      <c r="A11" s="16" t="s">
        <v>247</v>
      </c>
      <c r="B11" s="17" t="n">
        <f aca="false">SUMIFS('Product Backlog'!$J$6:$J$42,'Product Backlog'!$K$6:$K$42,$A11,'Product Backlog'!$I$6:$I$42,B$5)</f>
        <v>6</v>
      </c>
      <c r="C11" s="17" t="n">
        <f aca="false">SUMIFS('Product Backlog'!$J$6:$J$42,'Product Backlog'!$K$6:$K$42,$A11,'Product Backlog'!$I$6:$I$42,C$5)</f>
        <v>0</v>
      </c>
      <c r="D11" s="17" t="n">
        <f aca="false">SUMIFS('Product Backlog'!$J$6:$J$42,'Product Backlog'!$K$6:$K$42,$A11,'Product Backlog'!$I$6:$I$42,D$5)</f>
        <v>0</v>
      </c>
      <c r="E11" s="14" t="n">
        <f aca="false">SUM(B11:D11)</f>
        <v>6</v>
      </c>
      <c r="F11" s="17" t="n">
        <f aca="false">SUMIFS('Product Backlog'!$J$6:$J$42,'Product Backlog'!$K$6:$K$42,$A11,'Product Backlog'!$L$6:$L$42,"Listo")</f>
        <v>0</v>
      </c>
      <c r="G11" s="17" t="n">
        <f aca="false">E11-F11</f>
        <v>6</v>
      </c>
      <c r="H11" s="18" t="n">
        <f aca="false">IF(E11=0,0,F11/E11)</f>
        <v>0</v>
      </c>
    </row>
    <row r="12" customFormat="false" ht="15" hidden="false" customHeight="false" outlineLevel="0" collapsed="false">
      <c r="A12" s="16" t="s">
        <v>251</v>
      </c>
      <c r="B12" s="14" t="n">
        <f aca="false">SUM(B6:B11)</f>
        <v>122</v>
      </c>
      <c r="C12" s="14" t="n">
        <f aca="false">SUM(C6:C11)</f>
        <v>117</v>
      </c>
      <c r="D12" s="14" t="n">
        <f aca="false">SUM(D6:D11)</f>
        <v>116</v>
      </c>
      <c r="E12" s="14" t="n">
        <f aca="false">SUM(E6:E11)</f>
        <v>355</v>
      </c>
      <c r="F12" s="14" t="n">
        <f aca="false">SUM(F6:F11)</f>
        <v>21</v>
      </c>
      <c r="G12" s="14" t="n">
        <f aca="false">SUM(G6:G11)</f>
        <v>334</v>
      </c>
      <c r="H12" s="19" t="n">
        <f aca="false">IF(E12=0,0,F12/E12)</f>
        <v>0.0591549295774648</v>
      </c>
    </row>
    <row r="14" customFormat="false" ht="15" hidden="false" customHeight="false" outlineLevel="0" collapsed="false">
      <c r="A14" s="15" t="s">
        <v>278</v>
      </c>
    </row>
    <row r="15" customFormat="false" ht="15" hidden="false" customHeight="false" outlineLevel="0" collapsed="false">
      <c r="A15" s="7" t="s">
        <v>15</v>
      </c>
      <c r="B15" s="7" t="s">
        <v>28</v>
      </c>
      <c r="C15" s="7" t="s">
        <v>279</v>
      </c>
      <c r="D15" s="7" t="s">
        <v>63</v>
      </c>
      <c r="E15" s="7" t="s">
        <v>279</v>
      </c>
      <c r="F15" s="7" t="s">
        <v>69</v>
      </c>
      <c r="G15" s="7" t="s">
        <v>279</v>
      </c>
      <c r="H15" s="7" t="s">
        <v>251</v>
      </c>
      <c r="I15" s="7" t="s">
        <v>279</v>
      </c>
      <c r="J15" s="7" t="s">
        <v>280</v>
      </c>
    </row>
    <row r="16" customFormat="false" ht="15" hidden="false" customHeight="false" outlineLevel="0" collapsed="false">
      <c r="A16" s="16" t="s">
        <v>87</v>
      </c>
      <c r="B16" s="17" t="n">
        <f aca="false">B8</f>
        <v>30</v>
      </c>
      <c r="C16" s="20" t="n">
        <v>29.5</v>
      </c>
      <c r="D16" s="17" t="n">
        <f aca="false">C8</f>
        <v>36</v>
      </c>
      <c r="E16" s="20" t="n">
        <v>37.5</v>
      </c>
      <c r="F16" s="17" t="n">
        <f aca="false">D8</f>
        <v>34</v>
      </c>
      <c r="G16" s="20" t="n">
        <v>37.5</v>
      </c>
      <c r="H16" s="14" t="n">
        <f aca="false">B16+D16+F16</f>
        <v>100</v>
      </c>
      <c r="I16" s="21" t="n">
        <f aca="false">C16+E16+G16</f>
        <v>104.5</v>
      </c>
      <c r="J16" s="22" t="n">
        <f aca="false">I16-H16</f>
        <v>4.5</v>
      </c>
    </row>
    <row r="17" customFormat="false" ht="15" hidden="false" customHeight="false" outlineLevel="0" collapsed="false">
      <c r="A17" s="16" t="s">
        <v>143</v>
      </c>
      <c r="B17" s="17" t="n">
        <f aca="false">B9</f>
        <v>29</v>
      </c>
      <c r="C17" s="20" t="n">
        <v>29.5</v>
      </c>
      <c r="D17" s="17" t="n">
        <f aca="false">C9</f>
        <v>40</v>
      </c>
      <c r="E17" s="20" t="n">
        <v>37.5</v>
      </c>
      <c r="F17" s="17" t="n">
        <f aca="false">D9</f>
        <v>40</v>
      </c>
      <c r="G17" s="20" t="n">
        <v>37.5</v>
      </c>
      <c r="H17" s="14" t="n">
        <f aca="false">B17+D17+F17</f>
        <v>109</v>
      </c>
      <c r="I17" s="21" t="n">
        <f aca="false">C17+E17+G17</f>
        <v>104.5</v>
      </c>
      <c r="J17" s="22" t="n">
        <f aca="false">I17-H17</f>
        <v>-4.5</v>
      </c>
    </row>
    <row r="18" customFormat="false" ht="15" hidden="false" customHeight="false" outlineLevel="0" collapsed="false">
      <c r="A18" s="16" t="s">
        <v>218</v>
      </c>
      <c r="B18" s="17" t="n">
        <f aca="false">B10</f>
        <v>14</v>
      </c>
      <c r="C18" s="20" t="n">
        <v>14.75</v>
      </c>
      <c r="D18" s="17" t="n">
        <f aca="false">C10</f>
        <v>19</v>
      </c>
      <c r="E18" s="20" t="n">
        <v>18.75</v>
      </c>
      <c r="F18" s="17" t="n">
        <f aca="false">D10</f>
        <v>18</v>
      </c>
      <c r="G18" s="20" t="n">
        <v>18.75</v>
      </c>
      <c r="H18" s="14" t="n">
        <f aca="false">B18+D18+F18</f>
        <v>51</v>
      </c>
      <c r="I18" s="21" t="n">
        <f aca="false">C18+E18+G18</f>
        <v>52.25</v>
      </c>
      <c r="J18" s="22" t="n">
        <f aca="false">I18-H18</f>
        <v>1.25</v>
      </c>
    </row>
    <row r="19" customFormat="false" ht="30" hidden="false" customHeight="true" outlineLevel="0" collapsed="false">
      <c r="A19" s="23" t="s">
        <v>281</v>
      </c>
      <c r="B19" s="23"/>
      <c r="C19" s="23"/>
      <c r="D19" s="23"/>
      <c r="E19" s="23"/>
      <c r="F19" s="23"/>
      <c r="G19" s="23"/>
      <c r="H19" s="23"/>
      <c r="I19" s="23"/>
      <c r="J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  <c r="H20" s="23"/>
      <c r="I20" s="23"/>
      <c r="J20" s="23"/>
    </row>
    <row r="22" customFormat="false" ht="15" hidden="false" customHeight="false" outlineLevel="0" collapsed="false">
      <c r="A22" s="15" t="s">
        <v>282</v>
      </c>
    </row>
    <row r="23" customFormat="false" ht="15" hidden="false" customHeight="false" outlineLevel="0" collapsed="false">
      <c r="A23" s="7" t="s">
        <v>10</v>
      </c>
      <c r="B23" s="7" t="s">
        <v>283</v>
      </c>
      <c r="C23" s="7" t="s">
        <v>14</v>
      </c>
      <c r="D23" s="7" t="s">
        <v>3</v>
      </c>
      <c r="E23" s="7" t="s">
        <v>284</v>
      </c>
    </row>
    <row r="24" customFormat="false" ht="15" hidden="false" customHeight="false" outlineLevel="0" collapsed="false">
      <c r="A24" s="16" t="s">
        <v>25</v>
      </c>
      <c r="B24" s="17" t="n">
        <f aca="false">COUNTIF('Product Backlog'!$F$6:$F$42,$A24)</f>
        <v>4</v>
      </c>
      <c r="C24" s="17" t="n">
        <f aca="false">SUMIFS('Product Backlog'!$J$6:$J$42,'Product Backlog'!$F$6:$F$42,$A24)</f>
        <v>38</v>
      </c>
      <c r="D24" s="17" t="n">
        <f aca="false">SUMIFS('Product Backlog'!$J$6:$J$42,'Product Backlog'!$F$6:$F$42,$A24,'Product Backlog'!$L$6:$L$42,"Listo")</f>
        <v>21</v>
      </c>
      <c r="E24" s="18" t="n">
        <f aca="false">IF(C24=0,0,D24/C24)</f>
        <v>0.552631578947369</v>
      </c>
    </row>
    <row r="25" customFormat="false" ht="15" hidden="false" customHeight="false" outlineLevel="0" collapsed="false">
      <c r="A25" s="16" t="s">
        <v>52</v>
      </c>
      <c r="B25" s="17" t="n">
        <f aca="false">COUNTIF('Product Backlog'!$F$6:$F$42,$A25)</f>
        <v>6</v>
      </c>
      <c r="C25" s="17" t="n">
        <f aca="false">SUMIFS('Product Backlog'!$J$6:$J$42,'Product Backlog'!$F$6:$F$42,$A25)</f>
        <v>67</v>
      </c>
      <c r="D25" s="17" t="n">
        <f aca="false">SUMIFS('Product Backlog'!$J$6:$J$42,'Product Backlog'!$F$6:$F$42,$A25,'Product Backlog'!$L$6:$L$42,"Listo")</f>
        <v>0</v>
      </c>
      <c r="E25" s="18" t="n">
        <f aca="false">IF(C25=0,0,D25/C25)</f>
        <v>0</v>
      </c>
    </row>
    <row r="26" customFormat="false" ht="15" hidden="false" customHeight="false" outlineLevel="0" collapsed="false">
      <c r="A26" s="16" t="s">
        <v>81</v>
      </c>
      <c r="B26" s="17" t="n">
        <f aca="false">COUNTIF('Product Backlog'!$F$6:$F$42,$A26)</f>
        <v>3</v>
      </c>
      <c r="C26" s="17" t="n">
        <f aca="false">SUMIFS('Product Backlog'!$J$6:$J$42,'Product Backlog'!$F$6:$F$42,$A26)</f>
        <v>34</v>
      </c>
      <c r="D26" s="17" t="n">
        <f aca="false">SUMIFS('Product Backlog'!$J$6:$J$42,'Product Backlog'!$F$6:$F$42,$A26,'Product Backlog'!$L$6:$L$42,"Listo")</f>
        <v>0</v>
      </c>
      <c r="E26" s="18" t="n">
        <f aca="false">IF(C26=0,0,D26/C26)</f>
        <v>0</v>
      </c>
    </row>
    <row r="27" customFormat="false" ht="23.85" hidden="false" customHeight="false" outlineLevel="0" collapsed="false">
      <c r="A27" s="16" t="s">
        <v>75</v>
      </c>
      <c r="B27" s="17" t="n">
        <f aca="false">COUNTIF('Product Backlog'!$F$6:$F$42,$A27)</f>
        <v>3</v>
      </c>
      <c r="C27" s="17" t="n">
        <f aca="false">SUMIFS('Product Backlog'!$J$6:$J$42,'Product Backlog'!$F$6:$F$42,$A27)</f>
        <v>38</v>
      </c>
      <c r="D27" s="17" t="n">
        <f aca="false">SUMIFS('Product Backlog'!$J$6:$J$42,'Product Backlog'!$F$6:$F$42,$A27,'Product Backlog'!$L$6:$L$42,"Listo")</f>
        <v>0</v>
      </c>
      <c r="E27" s="18" t="n">
        <f aca="false">IF(C27=0,0,D27/C27)</f>
        <v>0</v>
      </c>
    </row>
    <row r="28" customFormat="false" ht="15" hidden="false" customHeight="false" outlineLevel="0" collapsed="false">
      <c r="A28" s="16" t="s">
        <v>119</v>
      </c>
      <c r="B28" s="17" t="n">
        <f aca="false">COUNTIF('Product Backlog'!$F$6:$F$42,$A28)</f>
        <v>8</v>
      </c>
      <c r="C28" s="17" t="n">
        <f aca="false">SUMIFS('Product Backlog'!$J$6:$J$42,'Product Backlog'!$F$6:$F$42,$A28)</f>
        <v>76</v>
      </c>
      <c r="D28" s="17" t="n">
        <f aca="false">SUMIFS('Product Backlog'!$J$6:$J$42,'Product Backlog'!$F$6:$F$42,$A28,'Product Backlog'!$L$6:$L$42,"Listo")</f>
        <v>0</v>
      </c>
      <c r="E28" s="18" t="n">
        <f aca="false">IF(C28=0,0,D28/C28)</f>
        <v>0</v>
      </c>
    </row>
    <row r="29" customFormat="false" ht="15" hidden="false" customHeight="false" outlineLevel="0" collapsed="false">
      <c r="A29" s="16" t="s">
        <v>134</v>
      </c>
      <c r="B29" s="17" t="n">
        <f aca="false">COUNTIF('Product Backlog'!$F$6:$F$42,$A29)</f>
        <v>1</v>
      </c>
      <c r="C29" s="17" t="n">
        <f aca="false">SUMIFS('Product Backlog'!$J$6:$J$42,'Product Backlog'!$F$6:$F$42,$A29)</f>
        <v>10</v>
      </c>
      <c r="D29" s="17" t="n">
        <f aca="false">SUMIFS('Product Backlog'!$J$6:$J$42,'Product Backlog'!$F$6:$F$42,$A29,'Product Backlog'!$L$6:$L$42,"Listo")</f>
        <v>0</v>
      </c>
      <c r="E29" s="18" t="n">
        <f aca="false">IF(C29=0,0,D29/C29)</f>
        <v>0</v>
      </c>
    </row>
    <row r="30" customFormat="false" ht="15" hidden="false" customHeight="false" outlineLevel="0" collapsed="false">
      <c r="A30" s="16" t="s">
        <v>184</v>
      </c>
      <c r="B30" s="17" t="n">
        <f aca="false">COUNTIF('Product Backlog'!$F$6:$F$42,$A30)</f>
        <v>2</v>
      </c>
      <c r="C30" s="17" t="n">
        <f aca="false">SUMIFS('Product Backlog'!$J$6:$J$42,'Product Backlog'!$F$6:$F$42,$A30)</f>
        <v>22</v>
      </c>
      <c r="D30" s="17" t="n">
        <f aca="false">SUMIFS('Product Backlog'!$J$6:$J$42,'Product Backlog'!$F$6:$F$42,$A30,'Product Backlog'!$L$6:$L$42,"Listo")</f>
        <v>0</v>
      </c>
      <c r="E30" s="18" t="n">
        <f aca="false">IF(C30=0,0,D30/C30)</f>
        <v>0</v>
      </c>
    </row>
    <row r="31" customFormat="false" ht="15" hidden="false" customHeight="false" outlineLevel="0" collapsed="false">
      <c r="A31" s="16" t="s">
        <v>166</v>
      </c>
      <c r="B31" s="17" t="n">
        <f aca="false">COUNTIF('Product Backlog'!$F$6:$F$42,$A31)</f>
        <v>2</v>
      </c>
      <c r="C31" s="17" t="n">
        <f aca="false">SUMIFS('Product Backlog'!$J$6:$J$42,'Product Backlog'!$F$6:$F$42,$A31)</f>
        <v>16</v>
      </c>
      <c r="D31" s="17" t="n">
        <f aca="false">SUMIFS('Product Backlog'!$J$6:$J$42,'Product Backlog'!$F$6:$F$42,$A31,'Product Backlog'!$L$6:$L$42,"Listo")</f>
        <v>0</v>
      </c>
      <c r="E31" s="18" t="n">
        <f aca="false">IF(C31=0,0,D31/C31)</f>
        <v>0</v>
      </c>
    </row>
    <row r="32" customFormat="false" ht="15" hidden="false" customHeight="false" outlineLevel="0" collapsed="false">
      <c r="A32" s="16" t="s">
        <v>44</v>
      </c>
      <c r="B32" s="17" t="n">
        <f aca="false">COUNTIF('Product Backlog'!$F$6:$F$42,$A32)</f>
        <v>8</v>
      </c>
      <c r="C32" s="17" t="n">
        <f aca="false">SUMIFS('Product Backlog'!$J$6:$J$42,'Product Backlog'!$F$6:$F$42,$A32)</f>
        <v>54</v>
      </c>
      <c r="D32" s="17" t="n">
        <f aca="false">SUMIFS('Product Backlog'!$J$6:$J$42,'Product Backlog'!$F$6:$F$42,$A32,'Product Backlog'!$L$6:$L$42,"Listo")</f>
        <v>0</v>
      </c>
      <c r="E32" s="18" t="n">
        <f aca="false">IF(C32=0,0,D32/C32)</f>
        <v>0</v>
      </c>
    </row>
    <row r="33" customFormat="false" ht="15" hidden="false" customHeight="false" outlineLevel="0" collapsed="false">
      <c r="A33" s="16" t="s">
        <v>251</v>
      </c>
      <c r="B33" s="14" t="n">
        <f aca="false">SUM(B24:B32)</f>
        <v>37</v>
      </c>
      <c r="C33" s="14" t="n">
        <f aca="false">SUM(C24:C32)</f>
        <v>355</v>
      </c>
      <c r="D33" s="14" t="n">
        <f aca="false">SUM(D24:D32)</f>
        <v>21</v>
      </c>
      <c r="E33" s="19" t="n">
        <f aca="false">IF(C33=0,0,D33/C33)</f>
        <v>0.0591549295774648</v>
      </c>
    </row>
    <row r="35" customFormat="false" ht="15" hidden="false" customHeight="false" outlineLevel="0" collapsed="false">
      <c r="A35" s="15" t="s">
        <v>285</v>
      </c>
    </row>
    <row r="36" customFormat="false" ht="15" hidden="false" customHeight="false" outlineLevel="0" collapsed="false">
      <c r="A36" s="7" t="s">
        <v>9</v>
      </c>
      <c r="B36" s="7" t="s">
        <v>283</v>
      </c>
      <c r="C36" s="7" t="s">
        <v>14</v>
      </c>
    </row>
    <row r="37" customFormat="false" ht="15" hidden="false" customHeight="false" outlineLevel="0" collapsed="false">
      <c r="A37" s="16" t="s">
        <v>51</v>
      </c>
      <c r="B37" s="17" t="n">
        <f aca="false">COUNTIF('Product Backlog'!$E$6:$E$42,$A37)</f>
        <v>23</v>
      </c>
      <c r="C37" s="17" t="n">
        <f aca="false">SUMIFS('Product Backlog'!$J$6:$J$42,'Product Backlog'!$E$6:$E$42,$A37)</f>
        <v>241</v>
      </c>
    </row>
    <row r="38" customFormat="false" ht="15" hidden="false" customHeight="false" outlineLevel="0" collapsed="false">
      <c r="A38" s="16" t="s">
        <v>24</v>
      </c>
      <c r="B38" s="17" t="n">
        <f aca="false">COUNTIF('Product Backlog'!$E$6:$E$42,$A38)</f>
        <v>13</v>
      </c>
      <c r="C38" s="17" t="n">
        <f aca="false">SUMIFS('Product Backlog'!$J$6:$J$42,'Product Backlog'!$E$6:$E$42,$A38)</f>
        <v>108</v>
      </c>
    </row>
    <row r="39" customFormat="false" ht="15" hidden="false" customHeight="false" outlineLevel="0" collapsed="false">
      <c r="A39" s="16" t="s">
        <v>246</v>
      </c>
      <c r="B39" s="17" t="n">
        <f aca="false">COUNTIF('Product Backlog'!$E$6:$E$42,$A39)</f>
        <v>1</v>
      </c>
      <c r="C39" s="17" t="n">
        <f aca="false">SUMIFS('Product Backlog'!$J$6:$J$42,'Product Backlog'!$E$6:$E$42,$A39)</f>
        <v>6</v>
      </c>
    </row>
    <row r="40" customFormat="false" ht="15" hidden="false" customHeight="false" outlineLevel="0" collapsed="false">
      <c r="A40" s="16" t="s">
        <v>251</v>
      </c>
      <c r="B40" s="14" t="n">
        <f aca="false">SUM(B37:B39)</f>
        <v>37</v>
      </c>
      <c r="C40" s="14" t="n">
        <f aca="false">SUM(C37:C39)</f>
        <v>355</v>
      </c>
    </row>
  </sheetData>
  <mergeCells count="1">
    <mergeCell ref="A19:J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286</v>
      </c>
    </row>
    <row r="3" customFormat="false" ht="15" hidden="false" customHeight="false" outlineLevel="0" collapsed="false">
      <c r="A3" s="15" t="s">
        <v>287</v>
      </c>
    </row>
    <row r="4" customFormat="false" ht="29.25" hidden="false" customHeight="true" outlineLevel="0" collapsed="false">
      <c r="A4" s="16" t="s">
        <v>288</v>
      </c>
      <c r="B4" s="10" t="s">
        <v>289</v>
      </c>
    </row>
    <row r="5" customFormat="false" ht="29.25" hidden="false" customHeight="true" outlineLevel="0" collapsed="false">
      <c r="A5" s="16" t="s">
        <v>16</v>
      </c>
      <c r="B5" s="10" t="s">
        <v>290</v>
      </c>
    </row>
    <row r="6" customFormat="false" ht="15.75" hidden="false" customHeight="true" outlineLevel="0" collapsed="false">
      <c r="A6" s="16" t="s">
        <v>17</v>
      </c>
      <c r="B6" s="10" t="s">
        <v>291</v>
      </c>
    </row>
    <row r="7" customFormat="false" ht="29.25" hidden="false" customHeight="true" outlineLevel="0" collapsed="false">
      <c r="A7" s="16" t="s">
        <v>292</v>
      </c>
      <c r="B7" s="10" t="s">
        <v>293</v>
      </c>
    </row>
    <row r="8" customFormat="false" ht="29.25" hidden="false" customHeight="true" outlineLevel="0" collapsed="false">
      <c r="A8" s="16" t="s">
        <v>14</v>
      </c>
      <c r="B8" s="10" t="s">
        <v>294</v>
      </c>
    </row>
    <row r="9" customFormat="false" ht="15.75" hidden="false" customHeight="true" outlineLevel="0" collapsed="false">
      <c r="A9" s="16" t="s">
        <v>12</v>
      </c>
      <c r="B9" s="10" t="s">
        <v>295</v>
      </c>
    </row>
    <row r="10" customFormat="false" ht="29.25" hidden="false" customHeight="true" outlineLevel="0" collapsed="false">
      <c r="A10" s="16" t="s">
        <v>19</v>
      </c>
      <c r="B10" s="10" t="s">
        <v>296</v>
      </c>
    </row>
    <row r="11" customFormat="false" ht="15.75" hidden="false" customHeight="true" outlineLevel="0" collapsed="false">
      <c r="A11" s="16" t="s">
        <v>297</v>
      </c>
      <c r="B11" s="10" t="s">
        <v>298</v>
      </c>
    </row>
    <row r="13" customFormat="false" ht="15" hidden="false" customHeight="false" outlineLevel="0" collapsed="false">
      <c r="A13" s="15" t="s">
        <v>299</v>
      </c>
    </row>
    <row r="14" customFormat="false" ht="15.75" hidden="false" customHeight="true" outlineLevel="0" collapsed="false">
      <c r="A14" s="16" t="s">
        <v>300</v>
      </c>
      <c r="B14" s="10" t="s">
        <v>301</v>
      </c>
    </row>
    <row r="15" customFormat="false" ht="15.75" hidden="false" customHeight="true" outlineLevel="0" collapsed="false">
      <c r="A15" s="16" t="s">
        <v>302</v>
      </c>
      <c r="B15" s="10" t="s">
        <v>303</v>
      </c>
    </row>
    <row r="16" customFormat="false" ht="42" hidden="false" customHeight="true" outlineLevel="0" collapsed="false">
      <c r="A16" s="16" t="s">
        <v>304</v>
      </c>
      <c r="B16" s="10" t="s">
        <v>316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2026-09-27T18:57:11Z</dcterms:created>
  <dc:creator>openpyxl</dc:creator>
  <dc:description/>
  <dc:language>en-US</dc:language>
  <cp:lastModifiedBy/>
  <dcterms:modified xsi:type="dcterms:W3CDTF">2026-09-27T15:57:46Z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