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iario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'Registro diario'!$4:$4</definedName>
    <definedName function="false" hidden="true" localSheetId="0" name="_xlnm._FilterDatabase" vbProcedure="false">'Registro diario'!$A$4:$K$46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<sst xmlns="http://schemas.openxmlformats.org/spreadsheetml/2006/main" count="194" uniqueCount="75">
  <si>
    <t xml:space="preserve">Sprint 1 · Daily Meeting (registro diario)</t>
  </si>
  <si>
    <t xml:space="preserve">El equipo reemplaza la reunión diaria por un reporte asíncrono en el chat: en qué avancé, qué sigue y si estoy bloqueado (Pilar 3 §5). Aquí se copia cada reporte para dejar evidencia.</t>
  </si>
  <si>
    <t xml:space="preserve">Fecha</t>
  </si>
  <si>
    <t xml:space="preserve">Día</t>
  </si>
  <si>
    <t xml:space="preserve">Integrante</t>
  </si>
  <si>
    <t xml:space="preserve">Instancia</t>
  </si>
  <si>
    <t xml:space="preserve">¿Qué hice desde el último reporte?</t>
  </si>
  <si>
    <t xml:space="preserve">¿Qué haré ahora?</t>
  </si>
  <si>
    <t xml:space="preserve">¿Bloqueo?</t>
  </si>
  <si>
    <t xml:space="preserve">Detalle del bloqueo</t>
  </si>
  <si>
    <t xml:space="preserve">Pasó a impedimento (ID)</t>
  </si>
  <si>
    <t xml:space="preserve">Evidencia (commit o PR)</t>
  </si>
  <si>
    <t xml:space="preserve">Actividad en el repositorio (hechos)</t>
  </si>
  <si>
    <t xml:space="preserve">Lunes</t>
  </si>
  <si>
    <t xml:space="preserve">Bryan</t>
  </si>
  <si>
    <t xml:space="preserve">Declaración de horas de la semana (A1) y reporte asíncrono</t>
  </si>
  <si>
    <t xml:space="preserve">PR #1 (HU-01) fusionado a develop a las 17:22.</t>
  </si>
  <si>
    <t xml:space="preserve">Francisco</t>
  </si>
  <si>
    <t xml:space="preserve">Damaris</t>
  </si>
  <si>
    <t xml:space="preserve">Martes</t>
  </si>
  <si>
    <t xml:space="preserve">Sincronización de inicio (60 min)</t>
  </si>
  <si>
    <t xml:space="preserve">Commit 7ca40d0: agrega Mailpit a la composición (HU-02).</t>
  </si>
  <si>
    <t xml:space="preserve">Miércoles</t>
  </si>
  <si>
    <t xml:space="preserve">Reporte asíncrono en el chat</t>
  </si>
  <si>
    <t xml:space="preserve">Jueves</t>
  </si>
  <si>
    <t xml:space="preserve">Viernes</t>
  </si>
  <si>
    <t xml:space="preserve">Punto de control (30 min, se cancela si no hay bloqueos)</t>
  </si>
  <si>
    <t xml:space="preserve">Commits 07a4290, 7ed0bb7 y b058608 (HU-02). PR #2 fusionado a las 12:16; PR #3 a las 19:39; PR #4 a las 23:44.</t>
  </si>
  <si>
    <t xml:space="preserve">Sábado</t>
  </si>
  <si>
    <t xml:space="preserve">Domingo</t>
  </si>
  <si>
    <t xml:space="preserve">Declaración de horas de la semana (A1)</t>
  </si>
  <si>
    <t xml:space="preserve">Punto de control (30 min)</t>
  </si>
  <si>
    <t xml:space="preserve">Cierre del sprint (90 min): demostración, retrospectiva y planificación del sprint 2; reporte al profesor</t>
  </si>
  <si>
    <t xml:space="preserve">Sprint 1 · Resumen del registro diario</t>
  </si>
  <si>
    <t xml:space="preserve">Se calcula desde la hoja Registro diario.</t>
  </si>
  <si>
    <t xml:space="preserve">Reportes registrados</t>
  </si>
  <si>
    <t xml:space="preserve">Días con bloqueo</t>
  </si>
  <si>
    <t xml:space="preserve">Bloqueos que pasaron a impedimento</t>
  </si>
  <si>
    <t xml:space="preserve">Total</t>
  </si>
  <si>
    <t xml:space="preserve">Días del sprint</t>
  </si>
  <si>
    <t xml:space="preserve">Un bloqueo de más de 24 horas sin pedir ayuda rompe el acuerdo A3: cuando ocurra, regístralo también en el Registro de impedimentos.</t>
  </si>
  <si>
    <t xml:space="preserve">Sprint 1 · Leyenda del registro diario</t>
  </si>
  <si>
    <t xml:space="preserve">Qué se llena y cómo</t>
  </si>
  <si>
    <t xml:space="preserve">Columnas en amarillo</t>
  </si>
  <si>
    <t xml:space="preserve">Las completa cada integrante con su reporte del día (o el líder, copiando lo que se dijo en el chat o en la reunión).</t>
  </si>
  <si>
    <t xml:space="preserve">¿Qué hice? / ¿Qué haré?</t>
  </si>
  <si>
    <t xml:space="preserve">Una o dos frases concretas, con la historia entre paréntesis, por ejemplo (HU-04).</t>
  </si>
  <si>
    <t xml:space="preserve">Sí o No. Si es Sí, explica en Detalle qué te bloquea y desde cuándo.</t>
  </si>
  <si>
    <t xml:space="preserve">Pasó a impedimento</t>
  </si>
  <si>
    <t xml:space="preserve">Si el bloqueo necesita acción del equipo o dura más de 24 horas, regístralo en el Registro de impedimentos y escribe aquí su ID.</t>
  </si>
  <si>
    <t xml:space="preserve">Actividad en el repositorio</t>
  </si>
  <si>
    <t xml:space="preserve">Hechos verificables del historial de Git (commits y Pull Request). En el sprint 1 viene llenada con lo que había al 27-09.</t>
  </si>
  <si>
    <t xml:space="preserve">Martes: sincronización de 60 minutos. Viernes: punto de control de 30 minutos (se cancela si no hay bloqueos). Lunes: declaración de horas (A1). Resto: reporte asíncrono.</t>
  </si>
  <si>
    <t xml:space="preserve">Fila de ejemplo (ilustrativa, no es un registro real)</t>
  </si>
  <si>
    <t xml:space="preserve">29-09-2026 · Martes · Sincronización de inicio (60 min)</t>
  </si>
  <si>
    <t xml:space="preserve">(ejemplo)</t>
  </si>
  <si>
    <t xml:space="preserve">¿Qué hice?</t>
  </si>
  <si>
    <t xml:space="preserve">Terminé el endpoint de registro y abrí el Pull Request (HU-04).</t>
  </si>
  <si>
    <t xml:space="preserve">¿Qué haré?</t>
  </si>
  <si>
    <t xml:space="preserve">Verificación del correo con el enlace de un solo uso (HU-04).</t>
  </si>
  <si>
    <t xml:space="preserve">No</t>
  </si>
  <si>
    <t xml:space="preserve">Evidencia</t>
  </si>
  <si>
    <t xml:space="preserve">feat/HU-04-registro · PR #5</t>
  </si>
  <si>
    <t xml:space="preserve">Revisión del modelo del anexo A contra la 3FN, con tres correcciones, y preparación de los modelos, las migraciones y los datos de ejemplo de los cuatro servicios para la demostración del 02-10.</t>
  </si>
  <si>
    <t xml:space="preserve">Subir los modelos de HU-04, HU-07, HU-08 y HU-23 a sus ramas, abrir los PR hacia develop y preparar la demostración desde demo/semana-08.</t>
  </si>
  <si>
    <t xml:space="preserve">Sí</t>
  </si>
  <si>
    <t xml:space="preserve">Damaris y Francisco no responden en el chat (desde [COMPLETAR: desde cuándo]). Nadie puede aprobar los PR antes del 02-10 (Pilar 5 §7).</t>
  </si>
  <si>
    <t xml:space="preserve">IMP-09 · IMP-10</t>
  </si>
  <si>
    <t xml:space="preserve">Sin reporte en el chat al 30-09</t>
  </si>
  <si>
    <t xml:space="preserve">Modelos y migraciones de los cuatro servicios (21 tablas, con tres correcciones de normalización respecto del anexo A), datos ficticios en las cuatro bases y prueba de restricciones (HU-04, HU-07, HU-08, HU-23). API de Catálogo y páginas servidas por el gateway (HU-12, HU-06). Registro, verificación del correo, inicio de sesión y pantallas de acceso (HU-04, HU-05, HU-09). Todo quedó integrado en demo/semana-08.</t>
  </si>
  <si>
    <t xml:space="preserve">Mostrar el avance al profesor el 02-10 desde demo/semana-08. Los PR quedan abiertos hacia develop, esperando revisión.</t>
  </si>
  <si>
    <t xml:space="preserve">Siguen abiertos los dos impedimentos del 30-09.</t>
  </si>
  <si>
    <t xml:space="preserve">PR [COMPLETAR: #] de HU-04, HU-05, HU-06, HU-07, HU-08, HU-09, HU-12 y HU-23 · commits [COMPLETAR: hash]</t>
  </si>
  <si>
    <t xml:space="preserve">PR #5 (HU-04), #6 (HU-07), #7 (HU-08), #8 (HU-23), #9 (HU-12), #10 (HU-06), #11 (HU-05) y #12 (HU-09)</t>
  </si>
  <si>
    <t xml:space="preserve">Desde el inicio del sprint (21-09) el equipo no se coordinó: Bryan no contactó a tiempo a Damaris y Francisco, y ellos tampoco preguntaron. Nadie puede aprobar los PR antes del 02-10 (Pilar 5 §7). (Corregido el 05-10: antes decía que Damaris y Francisco no respondían en el chat.)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</si>
</sst>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BE6"/>
        <bgColor rgb="FFFFFFFF"/>
      </patternFill>
    </fill>
    <fill>
      <patternFill patternType="solid">
        <fgColor rgb="FFEEF3F8"/>
        <bgColor rgb="FFFFFB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>
          <bgColor rgb="FFF7E1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6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E1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9.25" hidden="false" customHeight="true" outlineLevel="0" collapsed="false">
      <c r="A5" s="4" t="n">
        <v>46286</v>
      </c>
      <c r="B5" s="5" t="s">
        <v>13</v>
      </c>
      <c r="C5" s="5" t="s">
        <v>14</v>
      </c>
      <c r="D5" s="5" t="s">
        <v>15</v>
      </c>
      <c r="E5" s="6"/>
      <c r="F5" s="6"/>
      <c r="G5" s="6"/>
      <c r="H5" s="6"/>
      <c r="I5" s="6"/>
      <c r="J5" s="6"/>
      <c r="K5" s="5" t="s">
        <v>16</v>
      </c>
    </row>
    <row r="6" customFormat="false" ht="29.25" hidden="false" customHeight="true" outlineLevel="0" collapsed="false">
      <c r="A6" s="4" t="n">
        <v>46286</v>
      </c>
      <c r="B6" s="5" t="s">
        <v>13</v>
      </c>
      <c r="C6" s="5" t="s">
        <v>17</v>
      </c>
      <c r="D6" s="5" t="s">
        <v>15</v>
      </c>
      <c r="E6" s="6"/>
      <c r="F6" s="6"/>
      <c r="G6" s="6"/>
      <c r="H6" s="6"/>
      <c r="I6" s="6"/>
      <c r="J6" s="6"/>
      <c r="K6" s="5"/>
    </row>
    <row r="7" customFormat="false" ht="29.25" hidden="false" customHeight="true" outlineLevel="0" collapsed="false">
      <c r="A7" s="4" t="n">
        <v>46286</v>
      </c>
      <c r="B7" s="5" t="s">
        <v>13</v>
      </c>
      <c r="C7" s="5" t="s">
        <v>18</v>
      </c>
      <c r="D7" s="5" t="s">
        <v>15</v>
      </c>
      <c r="E7" s="6"/>
      <c r="F7" s="6"/>
      <c r="G7" s="6"/>
      <c r="H7" s="6"/>
      <c r="I7" s="6"/>
      <c r="J7" s="6"/>
      <c r="K7" s="5"/>
    </row>
    <row r="8" customFormat="false" ht="29.25" hidden="false" customHeight="true" outlineLevel="0" collapsed="false">
      <c r="A8" s="7" t="n">
        <v>46287</v>
      </c>
      <c r="B8" s="8" t="s">
        <v>19</v>
      </c>
      <c r="C8" s="8" t="s">
        <v>14</v>
      </c>
      <c r="D8" s="8" t="s">
        <v>20</v>
      </c>
      <c r="E8" s="6"/>
      <c r="F8" s="6"/>
      <c r="G8" s="6"/>
      <c r="H8" s="6"/>
      <c r="I8" s="6"/>
      <c r="J8" s="6"/>
      <c r="K8" s="5" t="s">
        <v>21</v>
      </c>
    </row>
    <row r="9" customFormat="false" ht="15.75" hidden="false" customHeight="true" outlineLevel="0" collapsed="false">
      <c r="A9" s="7" t="n">
        <v>46287</v>
      </c>
      <c r="B9" s="8" t="s">
        <v>19</v>
      </c>
      <c r="C9" s="8" t="s">
        <v>17</v>
      </c>
      <c r="D9" s="8" t="s">
        <v>20</v>
      </c>
      <c r="E9" s="6"/>
      <c r="F9" s="6"/>
      <c r="G9" s="6"/>
      <c r="H9" s="6"/>
      <c r="I9" s="6"/>
      <c r="J9" s="6"/>
      <c r="K9" s="5"/>
    </row>
    <row r="10" customFormat="false" ht="15.75" hidden="false" customHeight="true" outlineLevel="0" collapsed="false">
      <c r="A10" s="7" t="n">
        <v>46287</v>
      </c>
      <c r="B10" s="8" t="s">
        <v>19</v>
      </c>
      <c r="C10" s="8" t="s">
        <v>18</v>
      </c>
      <c r="D10" s="8" t="s">
        <v>20</v>
      </c>
      <c r="E10" s="6"/>
      <c r="F10" s="6"/>
      <c r="G10" s="6"/>
      <c r="H10" s="6"/>
      <c r="I10" s="6"/>
      <c r="J10" s="6"/>
      <c r="K10" s="5"/>
    </row>
    <row r="11" customFormat="false" ht="15.75" hidden="false" customHeight="true" outlineLevel="0" collapsed="false">
      <c r="A11" s="4" t="n">
        <v>46288</v>
      </c>
      <c r="B11" s="5" t="s">
        <v>22</v>
      </c>
      <c r="C11" s="5" t="s">
        <v>14</v>
      </c>
      <c r="D11" s="5" t="s">
        <v>23</v>
      </c>
      <c r="E11" s="6"/>
      <c r="F11" s="6"/>
      <c r="G11" s="6"/>
      <c r="H11" s="6"/>
      <c r="I11" s="6"/>
      <c r="J11" s="6"/>
      <c r="K11" s="5"/>
    </row>
    <row r="12" customFormat="false" ht="15.75" hidden="false" customHeight="true" outlineLevel="0" collapsed="false">
      <c r="A12" s="4" t="n">
        <v>46288</v>
      </c>
      <c r="B12" s="5" t="s">
        <v>22</v>
      </c>
      <c r="C12" s="5" t="s">
        <v>17</v>
      </c>
      <c r="D12" s="5" t="s">
        <v>23</v>
      </c>
      <c r="E12" s="6"/>
      <c r="F12" s="6"/>
      <c r="G12" s="6"/>
      <c r="H12" s="6"/>
      <c r="I12" s="6"/>
      <c r="J12" s="6"/>
      <c r="K12" s="5"/>
    </row>
    <row r="13" customFormat="false" ht="15.75" hidden="false" customHeight="true" outlineLevel="0" collapsed="false">
      <c r="A13" s="4" t="n">
        <v>46288</v>
      </c>
      <c r="B13" s="5" t="s">
        <v>22</v>
      </c>
      <c r="C13" s="5" t="s">
        <v>18</v>
      </c>
      <c r="D13" s="5" t="s">
        <v>23</v>
      </c>
      <c r="E13" s="6"/>
      <c r="F13" s="6"/>
      <c r="G13" s="6"/>
      <c r="H13" s="6"/>
      <c r="I13" s="6"/>
      <c r="J13" s="6"/>
      <c r="K13" s="5"/>
    </row>
    <row r="14" customFormat="false" ht="15.75" hidden="false" customHeight="true" outlineLevel="0" collapsed="false">
      <c r="A14" s="4" t="n">
        <v>46289</v>
      </c>
      <c r="B14" s="5" t="s">
        <v>24</v>
      </c>
      <c r="C14" s="5" t="s">
        <v>14</v>
      </c>
      <c r="D14" s="5" t="s">
        <v>23</v>
      </c>
      <c r="E14" s="6"/>
      <c r="F14" s="6"/>
      <c r="G14" s="6"/>
      <c r="H14" s="6"/>
      <c r="I14" s="6"/>
      <c r="J14" s="6"/>
      <c r="K14" s="5"/>
    </row>
    <row r="15" customFormat="false" ht="15.75" hidden="false" customHeight="true" outlineLevel="0" collapsed="false">
      <c r="A15" s="4" t="n">
        <v>46289</v>
      </c>
      <c r="B15" s="5" t="s">
        <v>24</v>
      </c>
      <c r="C15" s="5" t="s">
        <v>17</v>
      </c>
      <c r="D15" s="5" t="s">
        <v>23</v>
      </c>
      <c r="E15" s="6"/>
      <c r="F15" s="6"/>
      <c r="G15" s="6"/>
      <c r="H15" s="6"/>
      <c r="I15" s="6"/>
      <c r="J15" s="6"/>
      <c r="K15" s="5"/>
    </row>
    <row r="16" customFormat="false" ht="15.75" hidden="false" customHeight="true" outlineLevel="0" collapsed="false">
      <c r="A16" s="4" t="n">
        <v>46289</v>
      </c>
      <c r="B16" s="5" t="s">
        <v>24</v>
      </c>
      <c r="C16" s="5" t="s">
        <v>18</v>
      </c>
      <c r="D16" s="5" t="s">
        <v>23</v>
      </c>
      <c r="E16" s="6"/>
      <c r="F16" s="6"/>
      <c r="G16" s="6"/>
      <c r="H16" s="6"/>
      <c r="I16" s="6"/>
      <c r="J16" s="6"/>
      <c r="K16" s="5"/>
    </row>
    <row r="17" customFormat="false" ht="42" hidden="false" customHeight="true" outlineLevel="0" collapsed="false">
      <c r="A17" s="7" t="n">
        <v>46290</v>
      </c>
      <c r="B17" s="8" t="s">
        <v>25</v>
      </c>
      <c r="C17" s="8" t="s">
        <v>14</v>
      </c>
      <c r="D17" s="8" t="s">
        <v>26</v>
      </c>
      <c r="E17" s="6"/>
      <c r="F17" s="6"/>
      <c r="G17" s="6"/>
      <c r="H17" s="6"/>
      <c r="I17" s="6"/>
      <c r="J17" s="6"/>
      <c r="K17" s="5" t="s">
        <v>27</v>
      </c>
    </row>
    <row r="18" customFormat="false" ht="29.25" hidden="false" customHeight="true" outlineLevel="0" collapsed="false">
      <c r="A18" s="7" t="n">
        <v>46290</v>
      </c>
      <c r="B18" s="8" t="s">
        <v>25</v>
      </c>
      <c r="C18" s="8" t="s">
        <v>17</v>
      </c>
      <c r="D18" s="8" t="s">
        <v>26</v>
      </c>
      <c r="E18" s="6"/>
      <c r="F18" s="6"/>
      <c r="G18" s="6"/>
      <c r="H18" s="6"/>
      <c r="I18" s="6"/>
      <c r="J18" s="6"/>
      <c r="K18" s="5"/>
    </row>
    <row r="19" customFormat="false" ht="29.25" hidden="false" customHeight="true" outlineLevel="0" collapsed="false">
      <c r="A19" s="7" t="n">
        <v>46290</v>
      </c>
      <c r="B19" s="8" t="s">
        <v>25</v>
      </c>
      <c r="C19" s="8" t="s">
        <v>18</v>
      </c>
      <c r="D19" s="8" t="s">
        <v>26</v>
      </c>
      <c r="E19" s="6"/>
      <c r="F19" s="6"/>
      <c r="G19" s="6"/>
      <c r="H19" s="6"/>
      <c r="I19" s="6"/>
      <c r="J19" s="6"/>
      <c r="K19" s="5"/>
    </row>
    <row r="20" customFormat="false" ht="15.75" hidden="false" customHeight="true" outlineLevel="0" collapsed="false">
      <c r="A20" s="4" t="n">
        <v>46291</v>
      </c>
      <c r="B20" s="5" t="s">
        <v>28</v>
      </c>
      <c r="C20" s="5" t="s">
        <v>14</v>
      </c>
      <c r="D20" s="5" t="s">
        <v>23</v>
      </c>
      <c r="E20" s="6"/>
      <c r="F20" s="6"/>
      <c r="G20" s="6"/>
      <c r="H20" s="6"/>
      <c r="I20" s="6"/>
      <c r="J20" s="6"/>
      <c r="K20" s="5"/>
    </row>
    <row r="21" customFormat="false" ht="15.75" hidden="false" customHeight="true" outlineLevel="0" collapsed="false">
      <c r="A21" s="4" t="n">
        <v>46291</v>
      </c>
      <c r="B21" s="5" t="s">
        <v>28</v>
      </c>
      <c r="C21" s="5" t="s">
        <v>17</v>
      </c>
      <c r="D21" s="5" t="s">
        <v>23</v>
      </c>
      <c r="E21" s="6"/>
      <c r="F21" s="6"/>
      <c r="G21" s="6"/>
      <c r="H21" s="6"/>
      <c r="I21" s="6"/>
      <c r="J21" s="6"/>
      <c r="K21" s="5"/>
    </row>
    <row r="22" customFormat="false" ht="15.75" hidden="false" customHeight="true" outlineLevel="0" collapsed="false">
      <c r="A22" s="4" t="n">
        <v>46291</v>
      </c>
      <c r="B22" s="5" t="s">
        <v>28</v>
      </c>
      <c r="C22" s="5" t="s">
        <v>18</v>
      </c>
      <c r="D22" s="5" t="s">
        <v>23</v>
      </c>
      <c r="E22" s="6"/>
      <c r="F22" s="6"/>
      <c r="G22" s="6"/>
      <c r="H22" s="6"/>
      <c r="I22" s="6"/>
      <c r="J22" s="6"/>
      <c r="K22" s="5"/>
    </row>
    <row r="23" customFormat="false" ht="15.75" hidden="false" customHeight="true" outlineLevel="0" collapsed="false">
      <c r="A23" s="4" t="n">
        <v>46292</v>
      </c>
      <c r="B23" s="5" t="s">
        <v>29</v>
      </c>
      <c r="C23" s="5" t="s">
        <v>14</v>
      </c>
      <c r="D23" s="5" t="s">
        <v>23</v>
      </c>
      <c r="E23" s="6"/>
      <c r="F23" s="6"/>
      <c r="G23" s="6"/>
      <c r="H23" s="6"/>
      <c r="I23" s="6"/>
      <c r="J23" s="6"/>
      <c r="K23" s="5"/>
    </row>
    <row r="24" customFormat="false" ht="15.75" hidden="false" customHeight="true" outlineLevel="0" collapsed="false">
      <c r="A24" s="4" t="n">
        <v>46292</v>
      </c>
      <c r="B24" s="5" t="s">
        <v>29</v>
      </c>
      <c r="C24" s="5" t="s">
        <v>17</v>
      </c>
      <c r="D24" s="5" t="s">
        <v>23</v>
      </c>
      <c r="E24" s="6"/>
      <c r="F24" s="6"/>
      <c r="G24" s="6"/>
      <c r="H24" s="6"/>
      <c r="I24" s="6"/>
      <c r="J24" s="6"/>
      <c r="K24" s="5"/>
    </row>
    <row r="25" customFormat="false" ht="15.75" hidden="false" customHeight="true" outlineLevel="0" collapsed="false">
      <c r="A25" s="4" t="n">
        <v>46292</v>
      </c>
      <c r="B25" s="5" t="s">
        <v>29</v>
      </c>
      <c r="C25" s="5" t="s">
        <v>18</v>
      </c>
      <c r="D25" s="5" t="s">
        <v>23</v>
      </c>
      <c r="E25" s="6"/>
      <c r="F25" s="6"/>
      <c r="G25" s="6"/>
      <c r="H25" s="6"/>
      <c r="I25" s="6"/>
      <c r="J25" s="6"/>
      <c r="K25" s="5"/>
    </row>
    <row r="26" customFormat="false" ht="15.75" hidden="false" customHeight="true" outlineLevel="0" collapsed="false">
      <c r="A26" s="4" t="n">
        <v>46293</v>
      </c>
      <c r="B26" s="5" t="s">
        <v>13</v>
      </c>
      <c r="C26" s="5" t="s">
        <v>14</v>
      </c>
      <c r="D26" s="5" t="s">
        <v>30</v>
      </c>
      <c r="E26" s="6"/>
      <c r="F26" s="6"/>
      <c r="G26" s="6"/>
      <c r="H26" s="6"/>
      <c r="I26" s="6"/>
      <c r="J26" s="6"/>
      <c r="K26" s="5"/>
    </row>
    <row r="27" customFormat="false" ht="15.75" hidden="false" customHeight="true" outlineLevel="0" collapsed="false">
      <c r="A27" s="4" t="n">
        <v>46293</v>
      </c>
      <c r="B27" s="5" t="s">
        <v>13</v>
      </c>
      <c r="C27" s="5" t="s">
        <v>17</v>
      </c>
      <c r="D27" s="5" t="s">
        <v>30</v>
      </c>
      <c r="E27" s="6"/>
      <c r="F27" s="6"/>
      <c r="G27" s="6"/>
      <c r="H27" s="6"/>
      <c r="I27" s="6"/>
      <c r="J27" s="6"/>
      <c r="K27" s="5"/>
    </row>
    <row r="28" customFormat="false" ht="15.75" hidden="false" customHeight="true" outlineLevel="0" collapsed="false">
      <c r="A28" s="4" t="n">
        <v>46293</v>
      </c>
      <c r="B28" s="5" t="s">
        <v>13</v>
      </c>
      <c r="C28" s="5" t="s">
        <v>18</v>
      </c>
      <c r="D28" s="5" t="s">
        <v>30</v>
      </c>
      <c r="E28" s="6"/>
      <c r="F28" s="6"/>
      <c r="G28" s="6"/>
      <c r="H28" s="6"/>
      <c r="I28" s="6"/>
      <c r="J28" s="6"/>
      <c r="K28" s="5"/>
    </row>
    <row r="29" customFormat="false" ht="15.75" hidden="false" customHeight="true" outlineLevel="0" collapsed="false">
      <c r="A29" s="7" t="n">
        <v>46294</v>
      </c>
      <c r="B29" s="8" t="s">
        <v>19</v>
      </c>
      <c r="C29" s="8" t="s">
        <v>14</v>
      </c>
      <c r="D29" s="8" t="s">
        <v>20</v>
      </c>
      <c r="E29" s="6"/>
      <c r="F29" s="6"/>
      <c r="G29" s="6"/>
      <c r="H29" s="6"/>
      <c r="I29" s="6"/>
      <c r="J29" s="6"/>
      <c r="K29" s="5"/>
    </row>
    <row r="30" customFormat="false" ht="15.75" hidden="false" customHeight="true" outlineLevel="0" collapsed="false">
      <c r="A30" s="7" t="n">
        <v>46294</v>
      </c>
      <c r="B30" s="8" t="s">
        <v>19</v>
      </c>
      <c r="C30" s="8" t="s">
        <v>17</v>
      </c>
      <c r="D30" s="8" t="s">
        <v>20</v>
      </c>
      <c r="E30" s="6"/>
      <c r="F30" s="6"/>
      <c r="G30" s="6"/>
      <c r="H30" s="6"/>
      <c r="I30" s="6"/>
      <c r="J30" s="6"/>
      <c r="K30" s="5"/>
    </row>
    <row r="31" customFormat="false" ht="15.75" hidden="false" customHeight="true" outlineLevel="0" collapsed="false">
      <c r="A31" s="7" t="n">
        <v>46294</v>
      </c>
      <c r="B31" s="8" t="s">
        <v>19</v>
      </c>
      <c r="C31" s="8" t="s">
        <v>18</v>
      </c>
      <c r="D31" s="8" t="s">
        <v>20</v>
      </c>
      <c r="E31" s="6"/>
      <c r="F31" s="6"/>
      <c r="G31" s="6"/>
      <c r="H31" s="6"/>
      <c r="I31" s="6"/>
      <c r="J31" s="6"/>
      <c r="K31" s="5"/>
    </row>
    <row r="32" customFormat="false" ht="121.5" hidden="false" customHeight="true" outlineLevel="0" collapsed="false">
      <c r="A32" s="4" t="n">
        <v>46295</v>
      </c>
      <c r="B32" s="5" t="s">
        <v>22</v>
      </c>
      <c r="C32" s="5" t="s">
        <v>14</v>
      </c>
      <c r="D32" s="5" t="s">
        <v>23</v>
      </c>
      <c r="E32" s="6" t="s">
        <v>63</v>
      </c>
      <c r="F32" s="6" t="s">
        <v>64</v>
      </c>
      <c r="G32" s="6" t="s">
        <v>65</v>
      </c>
      <c r="H32" s="6" t="s">
        <v>74</v>
      </c>
      <c r="I32" s="6" t="s">
        <v>67</v>
      </c>
      <c r="J32" s="6"/>
      <c r="K32" s="5"/>
    </row>
    <row r="33" customFormat="false" ht="15.75" hidden="false" customHeight="true" outlineLevel="0" collapsed="false">
      <c r="A33" s="4" t="n">
        <v>46295</v>
      </c>
      <c r="B33" s="5" t="s">
        <v>22</v>
      </c>
      <c r="C33" s="5" t="s">
        <v>17</v>
      </c>
      <c r="D33" s="5" t="s">
        <v>23</v>
      </c>
      <c r="E33" s="6"/>
      <c r="F33" s="6"/>
      <c r="G33" s="6"/>
      <c r="H33" s="6"/>
      <c r="I33" s="6"/>
      <c r="J33" s="6"/>
      <c r="K33" s="5" t="s">
        <v>68</v>
      </c>
    </row>
    <row r="34" customFormat="false" ht="15.75" hidden="false" customHeight="true" outlineLevel="0" collapsed="false">
      <c r="A34" s="4" t="n">
        <v>46295</v>
      </c>
      <c r="B34" s="5" t="s">
        <v>22</v>
      </c>
      <c r="C34" s="5" t="s">
        <v>18</v>
      </c>
      <c r="D34" s="5" t="s">
        <v>23</v>
      </c>
      <c r="E34" s="6"/>
      <c r="F34" s="6"/>
      <c r="G34" s="6"/>
      <c r="H34" s="6"/>
      <c r="I34" s="6"/>
      <c r="J34" s="6"/>
      <c r="K34" s="5" t="s">
        <v>68</v>
      </c>
    </row>
    <row r="35" customFormat="false" ht="135" hidden="false" customHeight="true" outlineLevel="0" collapsed="false">
      <c r="A35" s="4" t="n">
        <v>46296</v>
      </c>
      <c r="B35" s="5" t="s">
        <v>24</v>
      </c>
      <c r="C35" s="5" t="s">
        <v>14</v>
      </c>
      <c r="D35" s="5" t="s">
        <v>23</v>
      </c>
      <c r="E35" s="6" t="s">
        <v>69</v>
      </c>
      <c r="F35" s="6" t="s">
        <v>70</v>
      </c>
      <c r="G35" s="6" t="s">
        <v>65</v>
      </c>
      <c r="H35" s="6" t="s">
        <v>71</v>
      </c>
      <c r="I35" s="6" t="s">
        <v>67</v>
      </c>
      <c r="J35" s="6" t="s">
        <v>73</v>
      </c>
      <c r="K35" s="5"/>
    </row>
    <row r="36" customFormat="false" ht="15.75" hidden="false" customHeight="true" outlineLevel="0" collapsed="false">
      <c r="A36" s="4" t="n">
        <v>46296</v>
      </c>
      <c r="B36" s="5" t="s">
        <v>24</v>
      </c>
      <c r="C36" s="5" t="s">
        <v>17</v>
      </c>
      <c r="D36" s="5" t="s">
        <v>23</v>
      </c>
      <c r="E36" s="6"/>
      <c r="F36" s="6"/>
      <c r="G36" s="6"/>
      <c r="H36" s="6"/>
      <c r="I36" s="6"/>
      <c r="J36" s="6"/>
      <c r="K36" s="5"/>
    </row>
    <row r="37" customFormat="false" ht="15.75" hidden="false" customHeight="true" outlineLevel="0" collapsed="false">
      <c r="A37" s="4" t="n">
        <v>46296</v>
      </c>
      <c r="B37" s="5" t="s">
        <v>24</v>
      </c>
      <c r="C37" s="5" t="s">
        <v>18</v>
      </c>
      <c r="D37" s="5" t="s">
        <v>23</v>
      </c>
      <c r="E37" s="6"/>
      <c r="F37" s="6"/>
      <c r="G37" s="6"/>
      <c r="H37" s="6"/>
      <c r="I37" s="6"/>
      <c r="J37" s="6"/>
      <c r="K37" s="5"/>
    </row>
    <row r="38" customFormat="false" ht="15.75" hidden="false" customHeight="true" outlineLevel="0" collapsed="false">
      <c r="A38" s="7" t="n">
        <v>46297</v>
      </c>
      <c r="B38" s="8" t="s">
        <v>25</v>
      </c>
      <c r="C38" s="8" t="s">
        <v>14</v>
      </c>
      <c r="D38" s="8" t="s">
        <v>31</v>
      </c>
      <c r="E38" s="6"/>
      <c r="F38" s="6"/>
      <c r="G38" s="6"/>
      <c r="H38" s="6"/>
      <c r="I38" s="6"/>
      <c r="J38" s="6"/>
      <c r="K38" s="5"/>
    </row>
    <row r="39" customFormat="false" ht="15.75" hidden="false" customHeight="true" outlineLevel="0" collapsed="false">
      <c r="A39" s="7" t="n">
        <v>46297</v>
      </c>
      <c r="B39" s="8" t="s">
        <v>25</v>
      </c>
      <c r="C39" s="8" t="s">
        <v>17</v>
      </c>
      <c r="D39" s="8" t="s">
        <v>31</v>
      </c>
      <c r="E39" s="6"/>
      <c r="F39" s="6"/>
      <c r="G39" s="6"/>
      <c r="H39" s="6"/>
      <c r="I39" s="6"/>
      <c r="J39" s="6"/>
      <c r="K39" s="5"/>
    </row>
    <row r="40" customFormat="false" ht="15.75" hidden="false" customHeight="true" outlineLevel="0" collapsed="false">
      <c r="A40" s="7" t="n">
        <v>46297</v>
      </c>
      <c r="B40" s="8" t="s">
        <v>25</v>
      </c>
      <c r="C40" s="8" t="s">
        <v>18</v>
      </c>
      <c r="D40" s="8" t="s">
        <v>31</v>
      </c>
      <c r="E40" s="6"/>
      <c r="F40" s="6"/>
      <c r="G40" s="6"/>
      <c r="H40" s="6"/>
      <c r="I40" s="6"/>
      <c r="J40" s="6"/>
      <c r="K40" s="5"/>
    </row>
    <row r="41" customFormat="false" ht="15.75" hidden="false" customHeight="true" outlineLevel="0" collapsed="false">
      <c r="A41" s="4" t="n">
        <v>46298</v>
      </c>
      <c r="B41" s="5" t="s">
        <v>28</v>
      </c>
      <c r="C41" s="5" t="s">
        <v>14</v>
      </c>
      <c r="D41" s="5" t="s">
        <v>23</v>
      </c>
      <c r="E41" s="6"/>
      <c r="F41" s="6"/>
      <c r="G41" s="6"/>
      <c r="H41" s="6"/>
      <c r="I41" s="6"/>
      <c r="J41" s="6"/>
      <c r="K41" s="5"/>
    </row>
    <row r="42" customFormat="false" ht="15.75" hidden="false" customHeight="true" outlineLevel="0" collapsed="false">
      <c r="A42" s="4" t="n">
        <v>46298</v>
      </c>
      <c r="B42" s="5" t="s">
        <v>28</v>
      </c>
      <c r="C42" s="5" t="s">
        <v>17</v>
      </c>
      <c r="D42" s="5" t="s">
        <v>23</v>
      </c>
      <c r="E42" s="6"/>
      <c r="F42" s="6"/>
      <c r="G42" s="6"/>
      <c r="H42" s="6"/>
      <c r="I42" s="6"/>
      <c r="J42" s="6"/>
      <c r="K42" s="5"/>
    </row>
    <row r="43" customFormat="false" ht="15.75" hidden="false" customHeight="true" outlineLevel="0" collapsed="false">
      <c r="A43" s="4" t="n">
        <v>46298</v>
      </c>
      <c r="B43" s="5" t="s">
        <v>28</v>
      </c>
      <c r="C43" s="5" t="s">
        <v>18</v>
      </c>
      <c r="D43" s="5" t="s">
        <v>23</v>
      </c>
      <c r="E43" s="6"/>
      <c r="F43" s="6"/>
      <c r="G43" s="6"/>
      <c r="H43" s="6"/>
      <c r="I43" s="6"/>
      <c r="J43" s="6"/>
      <c r="K43" s="5"/>
    </row>
    <row r="44" customFormat="false" ht="42" hidden="false" customHeight="true" outlineLevel="0" collapsed="false">
      <c r="A44" s="7" t="n">
        <v>46299</v>
      </c>
      <c r="B44" s="8" t="s">
        <v>29</v>
      </c>
      <c r="C44" s="8" t="s">
        <v>14</v>
      </c>
      <c r="D44" s="8" t="s">
        <v>32</v>
      </c>
      <c r="E44" s="6"/>
      <c r="F44" s="6"/>
      <c r="G44" s="6"/>
      <c r="H44" s="6"/>
      <c r="I44" s="6"/>
      <c r="J44" s="6"/>
      <c r="K44" s="5"/>
    </row>
    <row r="45" customFormat="false" ht="42" hidden="false" customHeight="true" outlineLevel="0" collapsed="false">
      <c r="A45" s="7" t="n">
        <v>46299</v>
      </c>
      <c r="B45" s="8" t="s">
        <v>29</v>
      </c>
      <c r="C45" s="8" t="s">
        <v>17</v>
      </c>
      <c r="D45" s="8" t="s">
        <v>32</v>
      </c>
      <c r="E45" s="6"/>
      <c r="F45" s="6"/>
      <c r="G45" s="6"/>
      <c r="H45" s="6"/>
      <c r="I45" s="6"/>
      <c r="J45" s="6"/>
      <c r="K45" s="5"/>
    </row>
    <row r="46" customFormat="false" ht="42" hidden="false" customHeight="true" outlineLevel="0" collapsed="false">
      <c r="A46" s="7" t="n">
        <v>46299</v>
      </c>
      <c r="B46" s="8" t="s">
        <v>29</v>
      </c>
      <c r="C46" s="8" t="s">
        <v>18</v>
      </c>
      <c r="D46" s="8" t="s">
        <v>32</v>
      </c>
      <c r="E46" s="6"/>
      <c r="F46" s="6"/>
      <c r="G46" s="6"/>
      <c r="H46" s="6"/>
      <c r="I46" s="6"/>
      <c r="J46" s="6"/>
      <c r="K46" s="5"/>
    </row>
  </sheetData>
  <autoFilter ref="A4:K46"/>
  <conditionalFormatting sqref="G5:G46">
    <cfRule type="cellIs" priority="2" operator="equal" aboveAverage="0" equalAverage="0" bottom="0" percent="0" rank="0" text="" dxfId="5">
      <formula>"Sí"</formula>
    </cfRule>
  </conditionalFormatting>
  <dataValidations count="2">
    <dataValidation allowBlank="true" error="Elige un valor de la lista." errorStyle="stop" errorTitle="Valor no válido" operator="between" showDropDown="false" showErrorMessage="false" showInputMessage="false" sqref="G5:G46" type="list">
      <formula1>"Sí,No"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C5:C46" type="list">
      <formula1>"Bryan,Francisco,Damaris"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23.85" hidden="false" customHeight="false" outlineLevel="0" collapsed="false">
      <c r="A4" s="3" t="s">
        <v>4</v>
      </c>
      <c r="B4" s="3" t="s">
        <v>35</v>
      </c>
      <c r="C4" s="3" t="s">
        <v>36</v>
      </c>
      <c r="D4" s="3" t="s">
        <v>37</v>
      </c>
    </row>
    <row r="5" customFormat="false" ht="15" hidden="false" customHeight="false" outlineLevel="0" collapsed="false">
      <c r="A5" s="9" t="s">
        <v>14</v>
      </c>
      <c r="B5" s="10" t="n">
        <f aca="false">COUNTIFS('Registro diario'!$C$5:$C$46,$A5,'Registro diario'!$E$5:$E$46,"&lt;&gt;")</f>
        <v>2</v>
      </c>
      <c r="C5" s="10" t="n">
        <f aca="false">COUNTIFS('Registro diario'!$C$5:$C$46,$A5,'Registro diario'!$G$5:$G$46,"Sí")</f>
        <v>2</v>
      </c>
      <c r="D5" s="10" t="n">
        <f aca="false">COUNTIFS('Registro diario'!$C$5:$C$46,$A5,'Registro diario'!$I$5:$I$46,"&lt;&gt;")</f>
        <v>2</v>
      </c>
    </row>
    <row r="6" customFormat="false" ht="15" hidden="false" customHeight="false" outlineLevel="0" collapsed="false">
      <c r="A6" s="9" t="s">
        <v>17</v>
      </c>
      <c r="B6" s="10" t="n">
        <f aca="false">COUNTIFS('Registro diario'!$C$5:$C$46,$A6,'Registro diario'!$E$5:$E$46,"&lt;&gt;")</f>
        <v>0</v>
      </c>
      <c r="C6" s="10" t="n">
        <f aca="false">COUNTIFS('Registro diario'!$C$5:$C$46,$A6,'Registro diario'!$G$5:$G$46,"Sí")</f>
        <v>0</v>
      </c>
      <c r="D6" s="10" t="n">
        <f aca="false">COUNTIFS('Registro diario'!$C$5:$C$46,$A6,'Registro diario'!$I$5:$I$46,"&lt;&gt;")</f>
        <v>0</v>
      </c>
    </row>
    <row r="7" customFormat="false" ht="15" hidden="false" customHeight="false" outlineLevel="0" collapsed="false">
      <c r="A7" s="9" t="s">
        <v>18</v>
      </c>
      <c r="B7" s="10" t="n">
        <f aca="false">COUNTIFS('Registro diario'!$C$5:$C$46,$A7,'Registro diario'!$E$5:$E$46,"&lt;&gt;")</f>
        <v>0</v>
      </c>
      <c r="C7" s="10" t="n">
        <f aca="false">COUNTIFS('Registro diario'!$C$5:$C$46,$A7,'Registro diario'!$G$5:$G$46,"Sí")</f>
        <v>0</v>
      </c>
      <c r="D7" s="10" t="n">
        <f aca="false">COUNTIFS('Registro diario'!$C$5:$C$46,$A7,'Registro diario'!$I$5:$I$46,"&lt;&gt;")</f>
        <v>0</v>
      </c>
    </row>
    <row r="8" customFormat="false" ht="15" hidden="false" customHeight="false" outlineLevel="0" collapsed="false">
      <c r="A8" s="9" t="s">
        <v>38</v>
      </c>
      <c r="B8" s="11" t="n">
        <f aca="false">SUM(B5:B7)</f>
        <v>2</v>
      </c>
      <c r="C8" s="11" t="n">
        <f aca="false">SUM(C5:C7)</f>
        <v>2</v>
      </c>
      <c r="D8" s="11" t="n">
        <f aca="false">SUM(D5:D7)</f>
        <v>2</v>
      </c>
    </row>
    <row r="10" customFormat="false" ht="15" hidden="false" customHeight="false" outlineLevel="0" collapsed="false">
      <c r="A10" s="9" t="s">
        <v>39</v>
      </c>
      <c r="B10" s="12" t="n">
        <v>14</v>
      </c>
    </row>
    <row r="12" customFormat="false" ht="15" hidden="false" customHeight="false" outlineLevel="0" collapsed="false">
      <c r="A12" s="13" t="s">
        <v>40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14" t="s">
        <v>42</v>
      </c>
    </row>
    <row r="4" customFormat="false" ht="29.25" hidden="false" customHeight="true" outlineLevel="0" collapsed="false">
      <c r="A4" s="9" t="s">
        <v>43</v>
      </c>
      <c r="B4" s="5" t="s">
        <v>44</v>
      </c>
    </row>
    <row r="5" customFormat="false" ht="15.75" hidden="false" customHeight="true" outlineLevel="0" collapsed="false">
      <c r="A5" s="9" t="s">
        <v>45</v>
      </c>
      <c r="B5" s="5" t="s">
        <v>46</v>
      </c>
    </row>
    <row r="6" customFormat="false" ht="15.75" hidden="false" customHeight="true" outlineLevel="0" collapsed="false">
      <c r="A6" s="9" t="s">
        <v>8</v>
      </c>
      <c r="B6" s="5" t="s">
        <v>47</v>
      </c>
    </row>
    <row r="7" customFormat="false" ht="29.25" hidden="false" customHeight="true" outlineLevel="0" collapsed="false">
      <c r="A7" s="9" t="s">
        <v>48</v>
      </c>
      <c r="B7" s="5" t="s">
        <v>49</v>
      </c>
    </row>
    <row r="8" customFormat="false" ht="29.25" hidden="false" customHeight="true" outlineLevel="0" collapsed="false">
      <c r="A8" s="9" t="s">
        <v>50</v>
      </c>
      <c r="B8" s="5" t="s">
        <v>51</v>
      </c>
    </row>
    <row r="9" customFormat="false" ht="29.25" hidden="false" customHeight="true" outlineLevel="0" collapsed="false">
      <c r="A9" s="9" t="s">
        <v>5</v>
      </c>
      <c r="B9" s="5" t="s">
        <v>52</v>
      </c>
    </row>
    <row r="11" customFormat="false" ht="15" hidden="false" customHeight="false" outlineLevel="0" collapsed="false">
      <c r="A11" s="14" t="s">
        <v>53</v>
      </c>
    </row>
    <row r="12" customFormat="false" ht="15.75" hidden="false" customHeight="true" outlineLevel="0" collapsed="false">
      <c r="A12" s="9" t="s">
        <v>2</v>
      </c>
      <c r="B12" s="5" t="s">
        <v>54</v>
      </c>
    </row>
    <row r="13" customFormat="false" ht="15.75" hidden="false" customHeight="true" outlineLevel="0" collapsed="false">
      <c r="A13" s="9" t="s">
        <v>4</v>
      </c>
      <c r="B13" s="5" t="s">
        <v>55</v>
      </c>
    </row>
    <row r="14" customFormat="false" ht="15.75" hidden="false" customHeight="true" outlineLevel="0" collapsed="false">
      <c r="A14" s="9" t="s">
        <v>56</v>
      </c>
      <c r="B14" s="5" t="s">
        <v>57</v>
      </c>
    </row>
    <row r="15" customFormat="false" ht="15.75" hidden="false" customHeight="true" outlineLevel="0" collapsed="false">
      <c r="A15" s="9" t="s">
        <v>58</v>
      </c>
      <c r="B15" s="5" t="s">
        <v>59</v>
      </c>
    </row>
    <row r="16" customFormat="false" ht="15.75" hidden="false" customHeight="true" outlineLevel="0" collapsed="false">
      <c r="A16" s="9" t="s">
        <v>8</v>
      </c>
      <c r="B16" s="5" t="s">
        <v>60</v>
      </c>
    </row>
    <row r="17" customFormat="false" ht="15.75" hidden="false" customHeight="true" outlineLevel="0" collapsed="false">
      <c r="A17" s="9" t="s">
        <v>61</v>
      </c>
      <c r="B17" s="5" t="s">
        <v>62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