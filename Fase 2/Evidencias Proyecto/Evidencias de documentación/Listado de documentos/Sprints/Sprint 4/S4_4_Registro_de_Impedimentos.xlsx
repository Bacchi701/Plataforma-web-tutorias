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edimentos" sheetId="1" state="visible" r:id="rId3"/>
    <sheet name="Resumen" sheetId="2" state="visible" r:id="rId4"/>
    <sheet name="Leyenda" sheetId="3" state="visible" r:id="rId5"/>
  </sheets>
  <definedNames>
    <definedName function="false" hidden="false" localSheetId="0" name="_xlnm.Print_Titles" vbProcedure="false">Impedimentos!$5:$5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<sst xmlns="http://schemas.openxmlformats.org/spreadsheetml/2006/main" count="54" uniqueCount="46">
  <si>
    <t xml:space="preserve">Sprint 4 · Registro de impedimentos (impediment log)</t>
  </si>
  <si>
    <t xml:space="preserve">Un impedimento es algo que ya está frenando el trabajo y necesita una acción. Un riesgo es algo que podría ocurrir: vive en el anexo A del Pilar 5.</t>
  </si>
  <si>
    <t xml:space="preserve">Fecha de corte</t>
  </si>
  <si>
    <t xml:space="preserve">← para calcular los días abiertos; si queda vacía, se usa la fecha de hoy.</t>
  </si>
  <si>
    <t xml:space="preserve">ID</t>
  </si>
  <si>
    <t xml:space="preserve">Fecha detectado</t>
  </si>
  <si>
    <t xml:space="preserve">Descripción</t>
  </si>
  <si>
    <t xml:space="preserve">Historia o área</t>
  </si>
  <si>
    <t xml:space="preserve">Tipo</t>
  </si>
  <si>
    <t xml:space="preserve">Impacto</t>
  </si>
  <si>
    <t xml:space="preserve">Detectado por</t>
  </si>
  <si>
    <t xml:space="preserve">Responsable</t>
  </si>
  <si>
    <t xml:space="preserve">Acción</t>
  </si>
  <si>
    <t xml:space="preserve">Estado</t>
  </si>
  <si>
    <t xml:space="preserve">Fecha resolución</t>
  </si>
  <si>
    <t xml:space="preserve">Días abierto</t>
  </si>
  <si>
    <t xml:space="preserve">Riesgo relacionado</t>
  </si>
  <si>
    <t xml:space="preserve">Evidencia</t>
  </si>
  <si>
    <t xml:space="preserve">Al planificar este sprint, copia aquí los impedimentos que quedaron abiertos al cierre del sprint anterior, con su ID original (en el sprint 1, al 27-09: IMP-03 a IMP-08). Los nuevos continúan la numeración.</t>
  </si>
  <si>
    <t xml:space="preserve">Sprint 4 · Resumen de impedimentos</t>
  </si>
  <si>
    <t xml:space="preserve">Se calcula desde la hoja Impedimentos.</t>
  </si>
  <si>
    <t xml:space="preserve">Cantidad</t>
  </si>
  <si>
    <t xml:space="preserve">Abierto</t>
  </si>
  <si>
    <t xml:space="preserve">Técnico</t>
  </si>
  <si>
    <t xml:space="preserve">En curso</t>
  </si>
  <si>
    <t xml:space="preserve">Proceso</t>
  </si>
  <si>
    <t xml:space="preserve">Resuelto</t>
  </si>
  <si>
    <t xml:space="preserve">Externo</t>
  </si>
  <si>
    <t xml:space="preserve">Total</t>
  </si>
  <si>
    <t xml:space="preserve">Capacidad</t>
  </si>
  <si>
    <t xml:space="preserve">Días promedio hasta resolver</t>
  </si>
  <si>
    <t xml:space="preserve">Abiertos con impacto alto</t>
  </si>
  <si>
    <t xml:space="preserve">Sprint 4 · Leyenda del registro de impedimentos</t>
  </si>
  <si>
    <t xml:space="preserve">Qué se registra</t>
  </si>
  <si>
    <t xml:space="preserve">Impedimento</t>
  </si>
  <si>
    <t xml:space="preserve">Algo que ya está frenando el trabajo del sprint y que la persona no puede resolver sola en 24 horas (acuerdo A3), o que necesita una decisión del equipo.</t>
  </si>
  <si>
    <t xml:space="preserve">No es un impedimento</t>
  </si>
  <si>
    <t xml:space="preserve">Un riesgo que todavía no ocurre (va al anexo A del Pilar 5) o una tarea pendiente (va al tablero).</t>
  </si>
  <si>
    <t xml:space="preserve">Técnico (algo del sistema o las herramientas) · Proceso (algo de cómo trabajamos) · Externo (depende de alguien de fuera) · Capacidad (faltan horas).</t>
  </si>
  <si>
    <t xml:space="preserve">Alto: pone en duda el objetivo del sprint. Medio: atrasa una historia. Bajo: incomoda, pero no atrasa.</t>
  </si>
  <si>
    <t xml:space="preserve">Abierto · En curso (alguien ya está actuando) · Resuelto (con fecha de resolución).</t>
  </si>
  <si>
    <t xml:space="preserve">Se calcula solo: hasta la fecha de resolución o, si sigue abierto, hasta la fecha de corte.</t>
  </si>
  <si>
    <t xml:space="preserve">Quien mueve la acción, no necesariamente quien lo detectó. El líder, como Scrum Master, revisa los abiertos en cada sincronización.</t>
  </si>
  <si>
    <t xml:space="preserve">Fila de ejemplo (ilustrativa, no es un registro real)</t>
  </si>
  <si>
    <t xml:space="preserve">Ejemplo</t>
  </si>
  <si>
    <t xml:space="preserve">IMP-XX · 30-09-2026 · «La pantalla de registro no puede conectarse porque el contrato de Identidad no está congelado» · HU-09 · Proceso · Alto · Detectado por: Damaris · Responsable: Bryan · Acción: congelar el contrato en la sincronización del martes · Estado: En curso.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</si>
</sst>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\-yyyy"/>
    <numFmt numFmtId="166" formatCode="0"/>
    <numFmt numFmtId="167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3F8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7E1E0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EF3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7E1E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20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8" min="7" style="0" width="12"/>
    <col collapsed="false" customWidth="true" hidden="false" outlineLevel="0" max="9" min="9" style="0" width="46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14"/>
    <col collapsed="false" customWidth="true" hidden="false" outlineLevel="0" max="14" min="14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  <c r="B3" s="3"/>
      <c r="C3" s="4"/>
      <c r="D3" s="5" t="s">
        <v>3</v>
      </c>
    </row>
    <row r="5" customFormat="false" ht="30" hidden="false" customHeight="tru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</row>
    <row r="6" customFormat="false" ht="30" hidden="false" customHeight="true" outlineLevel="0" collapsed="false">
      <c r="A6" s="7"/>
      <c r="B6" s="8"/>
      <c r="C6" s="9"/>
      <c r="D6" s="9"/>
      <c r="E6" s="10"/>
      <c r="F6" s="10"/>
      <c r="G6" s="9"/>
      <c r="H6" s="9"/>
      <c r="I6" s="9"/>
      <c r="J6" s="10"/>
      <c r="K6" s="8"/>
      <c r="L6" s="11" t="str">
        <f aca="true">IF(B6="","",IF(K6&lt;&gt;"",K6-B6,IF($C$3="",TODAY(),$C$3)-B6))</f>
        <v/>
      </c>
      <c r="M6" s="9"/>
      <c r="N6" s="9"/>
    </row>
    <row r="7" customFormat="false" ht="30" hidden="false" customHeight="true" outlineLevel="0" collapsed="false">
      <c r="A7" s="7"/>
      <c r="B7" s="8"/>
      <c r="C7" s="9"/>
      <c r="D7" s="9"/>
      <c r="E7" s="10"/>
      <c r="F7" s="10"/>
      <c r="G7" s="9"/>
      <c r="H7" s="9"/>
      <c r="I7" s="9"/>
      <c r="J7" s="10"/>
      <c r="K7" s="8"/>
      <c r="L7" s="11" t="str">
        <f aca="true">IF(B7="","",IF(K7&lt;&gt;"",K7-B7,IF($C$3="",TODAY(),$C$3)-B7))</f>
        <v/>
      </c>
      <c r="M7" s="9"/>
      <c r="N7" s="9"/>
    </row>
    <row r="8" customFormat="false" ht="30" hidden="false" customHeight="true" outlineLevel="0" collapsed="false">
      <c r="A8" s="7"/>
      <c r="B8" s="8"/>
      <c r="C8" s="9"/>
      <c r="D8" s="9"/>
      <c r="E8" s="10"/>
      <c r="F8" s="10"/>
      <c r="G8" s="9"/>
      <c r="H8" s="9"/>
      <c r="I8" s="9"/>
      <c r="J8" s="10"/>
      <c r="K8" s="8"/>
      <c r="L8" s="11" t="str">
        <f aca="true">IF(B8="","",IF(K8&lt;&gt;"",K8-B8,IF($C$3="",TODAY(),$C$3)-B8))</f>
        <v/>
      </c>
      <c r="M8" s="9"/>
      <c r="N8" s="9"/>
    </row>
    <row r="9" customFormat="false" ht="30" hidden="false" customHeight="true" outlineLevel="0" collapsed="false">
      <c r="A9" s="7"/>
      <c r="B9" s="8"/>
      <c r="C9" s="9"/>
      <c r="D9" s="9"/>
      <c r="E9" s="10"/>
      <c r="F9" s="10"/>
      <c r="G9" s="9"/>
      <c r="H9" s="9"/>
      <c r="I9" s="9"/>
      <c r="J9" s="10"/>
      <c r="K9" s="8"/>
      <c r="L9" s="11" t="str">
        <f aca="true">IF(B9="","",IF(K9&lt;&gt;"",K9-B9,IF($C$3="",TODAY(),$C$3)-B9))</f>
        <v/>
      </c>
      <c r="M9" s="9"/>
      <c r="N9" s="9"/>
    </row>
    <row r="10" customFormat="false" ht="30" hidden="false" customHeight="true" outlineLevel="0" collapsed="false">
      <c r="A10" s="7"/>
      <c r="B10" s="8"/>
      <c r="C10" s="9"/>
      <c r="D10" s="9"/>
      <c r="E10" s="10"/>
      <c r="F10" s="10"/>
      <c r="G10" s="9"/>
      <c r="H10" s="9"/>
      <c r="I10" s="9"/>
      <c r="J10" s="10"/>
      <c r="K10" s="8"/>
      <c r="L10" s="11" t="str">
        <f aca="true">IF(B10="","",IF(K10&lt;&gt;"",K10-B10,IF($C$3="",TODAY(),$C$3)-B10))</f>
        <v/>
      </c>
      <c r="M10" s="9"/>
      <c r="N10" s="9"/>
    </row>
    <row r="11" customFormat="false" ht="30" hidden="false" customHeight="true" outlineLevel="0" collapsed="false">
      <c r="A11" s="7"/>
      <c r="B11" s="8"/>
      <c r="C11" s="9"/>
      <c r="D11" s="9"/>
      <c r="E11" s="10"/>
      <c r="F11" s="10"/>
      <c r="G11" s="9"/>
      <c r="H11" s="9"/>
      <c r="I11" s="9"/>
      <c r="J11" s="10"/>
      <c r="K11" s="8"/>
      <c r="L11" s="11" t="str">
        <f aca="true">IF(B11="","",IF(K11&lt;&gt;"",K11-B11,IF($C$3="",TODAY(),$C$3)-B11))</f>
        <v/>
      </c>
      <c r="M11" s="9"/>
      <c r="N11" s="9"/>
    </row>
    <row r="12" customFormat="false" ht="30" hidden="false" customHeight="true" outlineLevel="0" collapsed="false">
      <c r="A12" s="7"/>
      <c r="B12" s="8"/>
      <c r="C12" s="9"/>
      <c r="D12" s="9"/>
      <c r="E12" s="10"/>
      <c r="F12" s="10"/>
      <c r="G12" s="9"/>
      <c r="H12" s="9"/>
      <c r="I12" s="9"/>
      <c r="J12" s="10"/>
      <c r="K12" s="8"/>
      <c r="L12" s="11" t="str">
        <f aca="true">IF(B12="","",IF(K12&lt;&gt;"",K12-B12,IF($C$3="",TODAY(),$C$3)-B12))</f>
        <v/>
      </c>
      <c r="M12" s="9"/>
      <c r="N12" s="9"/>
    </row>
    <row r="13" customFormat="false" ht="30" hidden="false" customHeight="true" outlineLevel="0" collapsed="false">
      <c r="A13" s="7"/>
      <c r="B13" s="8"/>
      <c r="C13" s="9"/>
      <c r="D13" s="9"/>
      <c r="E13" s="10"/>
      <c r="F13" s="10"/>
      <c r="G13" s="9"/>
      <c r="H13" s="9"/>
      <c r="I13" s="9"/>
      <c r="J13" s="10"/>
      <c r="K13" s="8"/>
      <c r="L13" s="11" t="str">
        <f aca="true">IF(B13="","",IF(K13&lt;&gt;"",K13-B13,IF($C$3="",TODAY(),$C$3)-B13))</f>
        <v/>
      </c>
      <c r="M13" s="9"/>
      <c r="N13" s="9"/>
    </row>
    <row r="14" customFormat="false" ht="30" hidden="false" customHeight="true" outlineLevel="0" collapsed="false">
      <c r="A14" s="7"/>
      <c r="B14" s="8"/>
      <c r="C14" s="9"/>
      <c r="D14" s="9"/>
      <c r="E14" s="10"/>
      <c r="F14" s="10"/>
      <c r="G14" s="9"/>
      <c r="H14" s="9"/>
      <c r="I14" s="9"/>
      <c r="J14" s="10"/>
      <c r="K14" s="8"/>
      <c r="L14" s="11" t="str">
        <f aca="true">IF(B14="","",IF(K14&lt;&gt;"",K14-B14,IF($C$3="",TODAY(),$C$3)-B14))</f>
        <v/>
      </c>
      <c r="M14" s="9"/>
      <c r="N14" s="9"/>
    </row>
    <row r="15" customFormat="false" ht="30" hidden="false" customHeight="true" outlineLevel="0" collapsed="false">
      <c r="A15" s="7"/>
      <c r="B15" s="8"/>
      <c r="C15" s="9"/>
      <c r="D15" s="9"/>
      <c r="E15" s="10"/>
      <c r="F15" s="10"/>
      <c r="G15" s="9"/>
      <c r="H15" s="9"/>
      <c r="I15" s="9"/>
      <c r="J15" s="10"/>
      <c r="K15" s="8"/>
      <c r="L15" s="11" t="str">
        <f aca="true">IF(B15="","",IF(K15&lt;&gt;"",K15-B15,IF($C$3="",TODAY(),$C$3)-B15))</f>
        <v/>
      </c>
      <c r="M15" s="9"/>
      <c r="N15" s="9"/>
    </row>
    <row r="16" customFormat="false" ht="30" hidden="false" customHeight="true" outlineLevel="0" collapsed="false">
      <c r="A16" s="7"/>
      <c r="B16" s="8"/>
      <c r="C16" s="9"/>
      <c r="D16" s="9"/>
      <c r="E16" s="10"/>
      <c r="F16" s="10"/>
      <c r="G16" s="9"/>
      <c r="H16" s="9"/>
      <c r="I16" s="9"/>
      <c r="J16" s="10"/>
      <c r="K16" s="8"/>
      <c r="L16" s="11" t="str">
        <f aca="true">IF(B16="","",IF(K16&lt;&gt;"",K16-B16,IF($C$3="",TODAY(),$C$3)-B16))</f>
        <v/>
      </c>
      <c r="M16" s="9"/>
      <c r="N16" s="9"/>
    </row>
    <row r="17" customFormat="false" ht="30" hidden="false" customHeight="true" outlineLevel="0" collapsed="false">
      <c r="A17" s="7"/>
      <c r="B17" s="8"/>
      <c r="C17" s="9"/>
      <c r="D17" s="9"/>
      <c r="E17" s="10"/>
      <c r="F17" s="10"/>
      <c r="G17" s="9"/>
      <c r="H17" s="9"/>
      <c r="I17" s="9"/>
      <c r="J17" s="10"/>
      <c r="K17" s="8"/>
      <c r="L17" s="11" t="str">
        <f aca="true">IF(B17="","",IF(K17&lt;&gt;"",K17-B17,IF($C$3="",TODAY(),$C$3)-B17))</f>
        <v/>
      </c>
      <c r="M17" s="9"/>
      <c r="N17" s="9"/>
    </row>
    <row r="18" customFormat="false" ht="30" hidden="false" customHeight="true" outlineLevel="0" collapsed="false">
      <c r="A18" s="7"/>
      <c r="B18" s="8"/>
      <c r="C18" s="9"/>
      <c r="D18" s="9"/>
      <c r="E18" s="10"/>
      <c r="F18" s="10"/>
      <c r="G18" s="9"/>
      <c r="H18" s="9"/>
      <c r="I18" s="9"/>
      <c r="J18" s="10"/>
      <c r="K18" s="8"/>
      <c r="L18" s="11" t="str">
        <f aca="true">IF(B18="","",IF(K18&lt;&gt;"",K18-B18,IF($C$3="",TODAY(),$C$3)-B18))</f>
        <v/>
      </c>
      <c r="M18" s="9"/>
      <c r="N18" s="9"/>
    </row>
    <row r="19" customFormat="false" ht="30" hidden="false" customHeight="true" outlineLevel="0" collapsed="false">
      <c r="A19" s="7"/>
      <c r="B19" s="8"/>
      <c r="C19" s="9"/>
      <c r="D19" s="9"/>
      <c r="E19" s="10"/>
      <c r="F19" s="10"/>
      <c r="G19" s="9"/>
      <c r="H19" s="9"/>
      <c r="I19" s="9"/>
      <c r="J19" s="10"/>
      <c r="K19" s="8"/>
      <c r="L19" s="11" t="str">
        <f aca="true">IF(B19="","",IF(K19&lt;&gt;"",K19-B19,IF($C$3="",TODAY(),$C$3)-B19))</f>
        <v/>
      </c>
      <c r="M19" s="9"/>
      <c r="N19" s="9"/>
    </row>
    <row r="20" customFormat="false" ht="30" hidden="false" customHeight="true" outlineLevel="0" collapsed="false">
      <c r="A20" s="7"/>
      <c r="B20" s="8"/>
      <c r="C20" s="9"/>
      <c r="D20" s="9"/>
      <c r="E20" s="10"/>
      <c r="F20" s="10"/>
      <c r="G20" s="9"/>
      <c r="H20" s="9"/>
      <c r="I20" s="9"/>
      <c r="J20" s="10"/>
      <c r="K20" s="8"/>
      <c r="L20" s="11" t="str">
        <f aca="true">IF(B20="","",IF(K20&lt;&gt;"",K20-B20,IF($C$3="",TODAY(),$C$3)-B20))</f>
        <v/>
      </c>
      <c r="M20" s="9"/>
      <c r="N20" s="9"/>
    </row>
    <row r="21" customFormat="false" ht="30" hidden="false" customHeight="true" outlineLevel="0" collapsed="false">
      <c r="A21" s="7"/>
      <c r="B21" s="8"/>
      <c r="C21" s="9"/>
      <c r="D21" s="9"/>
      <c r="E21" s="10"/>
      <c r="F21" s="10"/>
      <c r="G21" s="9"/>
      <c r="H21" s="9"/>
      <c r="I21" s="9"/>
      <c r="J21" s="10"/>
      <c r="K21" s="8"/>
      <c r="L21" s="11" t="str">
        <f aca="true">IF(B21="","",IF(K21&lt;&gt;"",K21-B21,IF($C$3="",TODAY(),$C$3)-B21))</f>
        <v/>
      </c>
      <c r="M21" s="9"/>
      <c r="N21" s="9"/>
    </row>
    <row r="22" customFormat="false" ht="30" hidden="false" customHeight="true" outlineLevel="0" collapsed="false">
      <c r="A22" s="7"/>
      <c r="B22" s="8"/>
      <c r="C22" s="9"/>
      <c r="D22" s="9"/>
      <c r="E22" s="10"/>
      <c r="F22" s="10"/>
      <c r="G22" s="9"/>
      <c r="H22" s="9"/>
      <c r="I22" s="9"/>
      <c r="J22" s="10"/>
      <c r="K22" s="8"/>
      <c r="L22" s="11" t="str">
        <f aca="true">IF(B22="","",IF(K22&lt;&gt;"",K22-B22,IF($C$3="",TODAY(),$C$3)-B22))</f>
        <v/>
      </c>
      <c r="M22" s="9"/>
      <c r="N22" s="9"/>
    </row>
    <row r="23" customFormat="false" ht="30" hidden="false" customHeight="true" outlineLevel="0" collapsed="false">
      <c r="A23" s="7"/>
      <c r="B23" s="8"/>
      <c r="C23" s="9"/>
      <c r="D23" s="9"/>
      <c r="E23" s="10"/>
      <c r="F23" s="10"/>
      <c r="G23" s="9"/>
      <c r="H23" s="9"/>
      <c r="I23" s="9"/>
      <c r="J23" s="10"/>
      <c r="K23" s="8"/>
      <c r="L23" s="11" t="str">
        <f aca="true">IF(B23="","",IF(K23&lt;&gt;"",K23-B23,IF($C$3="",TODAY(),$C$3)-B23))</f>
        <v/>
      </c>
      <c r="M23" s="9"/>
      <c r="N23" s="9"/>
    </row>
    <row r="24" customFormat="false" ht="30" hidden="false" customHeight="true" outlineLevel="0" collapsed="false">
      <c r="A24" s="7"/>
      <c r="B24" s="8"/>
      <c r="C24" s="9"/>
      <c r="D24" s="9"/>
      <c r="E24" s="10"/>
      <c r="F24" s="10"/>
      <c r="G24" s="9"/>
      <c r="H24" s="9"/>
      <c r="I24" s="9"/>
      <c r="J24" s="10"/>
      <c r="K24" s="8"/>
      <c r="L24" s="11" t="str">
        <f aca="true">IF(B24="","",IF(K24&lt;&gt;"",K24-B24,IF($C$3="",TODAY(),$C$3)-B24))</f>
        <v/>
      </c>
      <c r="M24" s="9"/>
      <c r="N24" s="9"/>
    </row>
    <row r="25" customFormat="false" ht="30" hidden="false" customHeight="true" outlineLevel="0" collapsed="false">
      <c r="A25" s="7"/>
      <c r="B25" s="8"/>
      <c r="C25" s="9"/>
      <c r="D25" s="9"/>
      <c r="E25" s="10"/>
      <c r="F25" s="10"/>
      <c r="G25" s="9"/>
      <c r="H25" s="9"/>
      <c r="I25" s="9"/>
      <c r="J25" s="10"/>
      <c r="K25" s="8"/>
      <c r="L25" s="11" t="str">
        <f aca="true">IF(B25="","",IF(K25&lt;&gt;"",K25-B25,IF($C$3="",TODAY(),$C$3)-B25))</f>
        <v/>
      </c>
      <c r="M25" s="9"/>
      <c r="N25" s="9"/>
    </row>
    <row r="27" customFormat="false" ht="15" hidden="false" customHeight="false" outlineLevel="0" collapsed="false">
      <c r="A27" s="5" t="s">
        <v>18</v>
      </c>
    </row>
  </sheetData>
  <mergeCells count="1">
    <mergeCell ref="A3:B3"/>
  </mergeCells>
  <conditionalFormatting sqref="J6:J25">
    <cfRule type="cellIs" priority="2" operator="equal" aboveAverage="0" equalAverage="0" bottom="0" percent="0" rank="0" text="" dxfId="0">
      <formula>"Abierto"</formula>
    </cfRule>
    <cfRule type="cellIs" priority="3" operator="equal" aboveAverage="0" equalAverage="0" bottom="0" percent="0" rank="0" text="" dxfId="1">
      <formula>"En curso"</formula>
    </cfRule>
    <cfRule type="cellIs" priority="4" operator="equal" aboveAverage="0" equalAverage="0" bottom="0" percent="0" rank="0" text="" dxfId="2">
      <formula>"Resuelto"</formula>
    </cfRule>
  </conditionalFormatting>
  <dataValidations count="3">
    <dataValidation allowBlank="true" error="Elige un valor de la lista." errorStyle="stop" errorTitle="Valor no válido" operator="between" showDropDown="false" showErrorMessage="false" showInputMessage="false" sqref="E6:E25" type="list">
      <formula1>"Técnico,Proceso,Externo,Capacidad"</formula1>
      <formula2>0</formula2>
    </dataValidation>
    <dataValidation allowBlank="true" error="Elige un valor de la lista." errorStyle="stop" errorTitle="Valor no válido" operator="between" showDropDown="false" showErrorMessage="false" showInputMessage="false" sqref="F6:F25" type="list">
      <formula1>"Alto,Medio,Bajo"</formula1>
      <formula2>0</formula2>
    </dataValidation>
    <dataValidation allowBlank="true" error="Elige un valor de la lista." errorStyle="stop" errorTitle="Valor no válido" operator="between" showDropDown="false" showErrorMessage="false" showInputMessage="false" sqref="J6:J25" type="list">
      <formula1>"Abierto,En curso,Resuelto"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24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4" customFormat="false" ht="15" hidden="false" customHeight="false" outlineLevel="0" collapsed="false">
      <c r="A4" s="6" t="s">
        <v>13</v>
      </c>
      <c r="B4" s="6" t="s">
        <v>21</v>
      </c>
      <c r="D4" s="6" t="s">
        <v>8</v>
      </c>
      <c r="E4" s="6" t="s">
        <v>21</v>
      </c>
    </row>
    <row r="5" customFormat="false" ht="15" hidden="false" customHeight="false" outlineLevel="0" collapsed="false">
      <c r="A5" s="3" t="s">
        <v>22</v>
      </c>
      <c r="B5" s="11" t="n">
        <f aca="false">COUNTIF(Impedimentos!$J$6:$J$25,$A5)</f>
        <v>0</v>
      </c>
      <c r="D5" s="3" t="s">
        <v>23</v>
      </c>
      <c r="E5" s="11" t="n">
        <f aca="false">COUNTIF(Impedimentos!$E$6:$E$25,$D5)</f>
        <v>0</v>
      </c>
    </row>
    <row r="6" customFormat="false" ht="15" hidden="false" customHeight="false" outlineLevel="0" collapsed="false">
      <c r="A6" s="3" t="s">
        <v>24</v>
      </c>
      <c r="B6" s="11" t="n">
        <f aca="false">COUNTIF(Impedimentos!$J$6:$J$25,$A6)</f>
        <v>0</v>
      </c>
      <c r="D6" s="3" t="s">
        <v>25</v>
      </c>
      <c r="E6" s="11" t="n">
        <f aca="false">COUNTIF(Impedimentos!$E$6:$E$25,$D6)</f>
        <v>0</v>
      </c>
    </row>
    <row r="7" customFormat="false" ht="15" hidden="false" customHeight="false" outlineLevel="0" collapsed="false">
      <c r="A7" s="3" t="s">
        <v>26</v>
      </c>
      <c r="B7" s="11" t="n">
        <f aca="false">COUNTIF(Impedimentos!$J$6:$J$25,$A7)</f>
        <v>0</v>
      </c>
      <c r="D7" s="3" t="s">
        <v>27</v>
      </c>
      <c r="E7" s="11" t="n">
        <f aca="false">COUNTIF(Impedimentos!$E$6:$E$25,$D7)</f>
        <v>0</v>
      </c>
    </row>
    <row r="8" customFormat="false" ht="15" hidden="false" customHeight="false" outlineLevel="0" collapsed="false">
      <c r="A8" s="3" t="s">
        <v>28</v>
      </c>
      <c r="B8" s="12" t="n">
        <f aca="false">SUM(B5:B7)</f>
        <v>0</v>
      </c>
      <c r="D8" s="3" t="s">
        <v>29</v>
      </c>
      <c r="E8" s="11" t="n">
        <f aca="false">COUNTIF(Impedimentos!$E$6:$E$25,$D8)</f>
        <v>0</v>
      </c>
    </row>
    <row r="11" customFormat="false" ht="23.85" hidden="false" customHeight="false" outlineLevel="0" collapsed="false">
      <c r="A11" s="3" t="s">
        <v>30</v>
      </c>
      <c r="B11" s="13" t="str">
        <f aca="false">IFERROR(AVERAGEIFS(Impedimentos!$L$6:$L$25,Impedimentos!$J$6:$J$25,"Resuelto"),"—")</f>
        <v>—</v>
      </c>
    </row>
    <row r="12" customFormat="false" ht="15" hidden="false" customHeight="false" outlineLevel="0" collapsed="false">
      <c r="A12" s="3" t="s">
        <v>31</v>
      </c>
      <c r="B12" s="11" t="n">
        <f aca="false">COUNTIFS(Impedimentos!$J$6:$J$25,"&lt;&gt;Resuelto",Impedimentos!$F$6:$F$25,"Alto",Impedimentos!$A$6:$A$25,"&lt;&gt;")</f>
        <v>0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32</v>
      </c>
    </row>
    <row r="3" customFormat="false" ht="15" hidden="false" customHeight="false" outlineLevel="0" collapsed="false">
      <c r="A3" s="14" t="s">
        <v>33</v>
      </c>
    </row>
    <row r="4" customFormat="false" ht="29.25" hidden="false" customHeight="true" outlineLevel="0" collapsed="false">
      <c r="A4" s="3" t="s">
        <v>34</v>
      </c>
      <c r="B4" s="9" t="s">
        <v>35</v>
      </c>
    </row>
    <row r="5" customFormat="false" ht="15.75" hidden="false" customHeight="true" outlineLevel="0" collapsed="false">
      <c r="A5" s="3" t="s">
        <v>36</v>
      </c>
      <c r="B5" s="9" t="s">
        <v>37</v>
      </c>
    </row>
    <row r="6" customFormat="false" ht="29.25" hidden="false" customHeight="true" outlineLevel="0" collapsed="false">
      <c r="A6" s="3" t="s">
        <v>8</v>
      </c>
      <c r="B6" s="9" t="s">
        <v>38</v>
      </c>
    </row>
    <row r="7" customFormat="false" ht="15.75" hidden="false" customHeight="true" outlineLevel="0" collapsed="false">
      <c r="A7" s="3" t="s">
        <v>9</v>
      </c>
      <c r="B7" s="9" t="s">
        <v>39</v>
      </c>
    </row>
    <row r="8" customFormat="false" ht="15.75" hidden="false" customHeight="true" outlineLevel="0" collapsed="false">
      <c r="A8" s="3" t="s">
        <v>13</v>
      </c>
      <c r="B8" s="9" t="s">
        <v>40</v>
      </c>
    </row>
    <row r="9" customFormat="false" ht="15.75" hidden="false" customHeight="true" outlineLevel="0" collapsed="false">
      <c r="A9" s="3" t="s">
        <v>15</v>
      </c>
      <c r="B9" s="9" t="s">
        <v>41</v>
      </c>
    </row>
    <row r="10" customFormat="false" ht="29.25" hidden="false" customHeight="true" outlineLevel="0" collapsed="false">
      <c r="A10" s="3" t="s">
        <v>11</v>
      </c>
      <c r="B10" s="9" t="s">
        <v>42</v>
      </c>
    </row>
    <row r="12" customFormat="false" ht="15" hidden="false" customHeight="false" outlineLevel="0" collapsed="false">
      <c r="A12" s="14" t="s">
        <v>43</v>
      </c>
    </row>
    <row r="13" customFormat="false" ht="42" hidden="false" customHeight="true" outlineLevel="0" collapsed="false">
      <c r="A13" s="3" t="s">
        <v>44</v>
      </c>
      <c r="B13" s="9" t="s">
        <v>45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2026-09-27T18:57:12Z</dcterms:created>
  <dc:creator>openpyxl</dc:creator>
  <dc:description/>
  <dc:language>en-US</dc:language>
  <cp:lastModifiedBy/>
  <dcterms:modified xsi:type="dcterms:W3CDTF">2026-09-27T18:57:12Z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