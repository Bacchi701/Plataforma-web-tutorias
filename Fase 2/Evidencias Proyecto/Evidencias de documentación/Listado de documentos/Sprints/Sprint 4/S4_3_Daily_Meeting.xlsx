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iario" sheetId="1" state="visible" r:id="rId3"/>
    <sheet name="Resumen" sheetId="2" state="visible" r:id="rId4"/>
    <sheet name="Leyenda" sheetId="3" state="visible" r:id="rId5"/>
  </sheets>
  <definedNames>
    <definedName function="false" hidden="false" localSheetId="0" name="_xlnm.Print_Titles" vbProcedure="false">'Registro diario'!$4:$4</definedName>
    <definedName function="false" hidden="true" localSheetId="0" name="_xlnm._FilterDatabase" vbProcedure="false">'Registro diario'!$A$4:$K$25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<sst xmlns="http://schemas.openxmlformats.org/spreadsheetml/2006/main" count="115" uniqueCount="58">
  <si>
    <t xml:space="preserve">Sprint 4 · Daily Meeting (registro diario)</t>
  </si>
  <si>
    <t xml:space="preserve">El equipo reemplaza la reunión diaria por un reporte asíncrono en el chat: en qué avancé, qué sigue y si estoy bloqueado (Pilar 3 §5). Aquí se copia cada reporte para dejar evidencia.</t>
  </si>
  <si>
    <t xml:space="preserve">Fecha</t>
  </si>
  <si>
    <t xml:space="preserve">Día</t>
  </si>
  <si>
    <t xml:space="preserve">Integrante</t>
  </si>
  <si>
    <t xml:space="preserve">Instancia</t>
  </si>
  <si>
    <t xml:space="preserve">¿Qué hice desde el último reporte?</t>
  </si>
  <si>
    <t xml:space="preserve">¿Qué haré ahora?</t>
  </si>
  <si>
    <t xml:space="preserve">¿Bloqueo?</t>
  </si>
  <si>
    <t xml:space="preserve">Detalle del bloqueo</t>
  </si>
  <si>
    <t xml:space="preserve">Pasó a impedimento (ID)</t>
  </si>
  <si>
    <t xml:space="preserve">Evidencia (commit o PR)</t>
  </si>
  <si>
    <t xml:space="preserve">Actividad en el repositorio (hechos)</t>
  </si>
  <si>
    <t xml:space="preserve">Lunes</t>
  </si>
  <si>
    <t xml:space="preserve">Bryan</t>
  </si>
  <si>
    <t xml:space="preserve">Declaración de horas (A1)</t>
  </si>
  <si>
    <t xml:space="preserve">Francisco</t>
  </si>
  <si>
    <t xml:space="preserve">Damaris</t>
  </si>
  <si>
    <t xml:space="preserve">Martes</t>
  </si>
  <si>
    <t xml:space="preserve">Sincronización de inicio (60 min)</t>
  </si>
  <si>
    <t xml:space="preserve">Miércoles</t>
  </si>
  <si>
    <t xml:space="preserve">Reporte asíncrono en el chat</t>
  </si>
  <si>
    <t xml:space="preserve">Jueves</t>
  </si>
  <si>
    <t xml:space="preserve">Viernes</t>
  </si>
  <si>
    <t xml:space="preserve">Punto de control (30 min)</t>
  </si>
  <si>
    <t xml:space="preserve">Sábado</t>
  </si>
  <si>
    <t xml:space="preserve">Domingo</t>
  </si>
  <si>
    <t xml:space="preserve">Cierre del sprint y congelamiento del desarrollo (90 min); reporte al profesor</t>
  </si>
  <si>
    <t xml:space="preserve">Sprint 4 · Resumen del registro diario</t>
  </si>
  <si>
    <t xml:space="preserve">Se calcula desde la hoja Registro diario.</t>
  </si>
  <si>
    <t xml:space="preserve">Reportes registrados</t>
  </si>
  <si>
    <t xml:space="preserve">Días con bloqueo</t>
  </si>
  <si>
    <t xml:space="preserve">Bloqueos que pasaron a impedimento</t>
  </si>
  <si>
    <t xml:space="preserve">Total</t>
  </si>
  <si>
    <t xml:space="preserve">Días del sprint</t>
  </si>
  <si>
    <t xml:space="preserve">Un bloqueo de más de 24 horas sin pedir ayuda rompe el acuerdo A3: cuando ocurra, regístralo también en el Registro de impedimentos.</t>
  </si>
  <si>
    <t xml:space="preserve">Sprint 4 · Leyenda del registro diario</t>
  </si>
  <si>
    <t xml:space="preserve">Qué se llena y cómo</t>
  </si>
  <si>
    <t xml:space="preserve">Columnas en amarillo</t>
  </si>
  <si>
    <t xml:space="preserve">Las completa cada integrante con su reporte del día (o el líder, copiando lo que se dijo en el chat o en la reunión).</t>
  </si>
  <si>
    <t xml:space="preserve">¿Qué hice? / ¿Qué haré?</t>
  </si>
  <si>
    <t xml:space="preserve">Una o dos frases concretas, con la historia entre paréntesis, por ejemplo (HU-04).</t>
  </si>
  <si>
    <t xml:space="preserve">Sí o No. Si es Sí, explica en Detalle qué te bloquea y desde cuándo.</t>
  </si>
  <si>
    <t xml:space="preserve">Pasó a impedimento</t>
  </si>
  <si>
    <t xml:space="preserve">Si el bloqueo necesita acción del equipo o dura más de 24 horas, regístralo en el Registro de impedimentos y escribe aquí su ID.</t>
  </si>
  <si>
    <t xml:space="preserve">Actividad en el repositorio</t>
  </si>
  <si>
    <t xml:space="preserve">Hechos verificables del historial de Git (commits y Pull Request). En el sprint 1 viene llenada con lo que había al 27-09.</t>
  </si>
  <si>
    <t xml:space="preserve">Martes: sincronización de 60 minutos. Viernes: punto de control de 30 minutos (se cancela si no hay bloqueos). Lunes: declaración de horas (A1). Resto: reporte asíncrono.</t>
  </si>
  <si>
    <t xml:space="preserve">Fila de ejemplo (ilustrativa, no es un registro real)</t>
  </si>
  <si>
    <t xml:space="preserve">29-09-2026 · Martes · Sincronización de inicio (60 min)</t>
  </si>
  <si>
    <t xml:space="preserve">(ejemplo)</t>
  </si>
  <si>
    <t xml:space="preserve">¿Qué hice?</t>
  </si>
  <si>
    <t xml:space="preserve">Terminé el endpoint de registro y abrí el Pull Request (HU-04).</t>
  </si>
  <si>
    <t xml:space="preserve">¿Qué haré?</t>
  </si>
  <si>
    <t xml:space="preserve">Verificación del correo con el enlace de un solo uso (HU-04).</t>
  </si>
  <si>
    <t xml:space="preserve">No</t>
  </si>
  <si>
    <t xml:space="preserve">Evidencia</t>
  </si>
  <si>
    <t xml:space="preserve">feat/HU-04-registro · PR #5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</si>
</sst>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BE6"/>
        <bgColor rgb="FFFFFFFF"/>
      </patternFill>
    </fill>
    <fill>
      <patternFill patternType="solid">
        <fgColor rgb="FFEEF3F8"/>
        <bgColor rgb="FFFFFB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>
          <bgColor rgb="FFF7E1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E6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E1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40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.75" hidden="false" customHeight="true" outlineLevel="0" collapsed="false">
      <c r="A5" s="4" t="n">
        <v>46328</v>
      </c>
      <c r="B5" s="5" t="s">
        <v>13</v>
      </c>
      <c r="C5" s="5" t="s">
        <v>14</v>
      </c>
      <c r="D5" s="5" t="s">
        <v>15</v>
      </c>
      <c r="E5" s="6"/>
      <c r="F5" s="6"/>
      <c r="G5" s="6"/>
      <c r="H5" s="6"/>
      <c r="I5" s="6"/>
      <c r="J5" s="6"/>
      <c r="K5" s="5"/>
    </row>
    <row r="6" customFormat="false" ht="15.75" hidden="false" customHeight="true" outlineLevel="0" collapsed="false">
      <c r="A6" s="4" t="n">
        <v>46328</v>
      </c>
      <c r="B6" s="5" t="s">
        <v>13</v>
      </c>
      <c r="C6" s="5" t="s">
        <v>16</v>
      </c>
      <c r="D6" s="5" t="s">
        <v>15</v>
      </c>
      <c r="E6" s="6"/>
      <c r="F6" s="6"/>
      <c r="G6" s="6"/>
      <c r="H6" s="6"/>
      <c r="I6" s="6"/>
      <c r="J6" s="6"/>
      <c r="K6" s="5"/>
    </row>
    <row r="7" customFormat="false" ht="15.75" hidden="false" customHeight="true" outlineLevel="0" collapsed="false">
      <c r="A7" s="4" t="n">
        <v>46328</v>
      </c>
      <c r="B7" s="5" t="s">
        <v>13</v>
      </c>
      <c r="C7" s="5" t="s">
        <v>17</v>
      </c>
      <c r="D7" s="5" t="s">
        <v>15</v>
      </c>
      <c r="E7" s="6"/>
      <c r="F7" s="6"/>
      <c r="G7" s="6"/>
      <c r="H7" s="6"/>
      <c r="I7" s="6"/>
      <c r="J7" s="6"/>
      <c r="K7" s="5"/>
    </row>
    <row r="8" customFormat="false" ht="15.75" hidden="false" customHeight="true" outlineLevel="0" collapsed="false">
      <c r="A8" s="7" t="n">
        <v>46329</v>
      </c>
      <c r="B8" s="8" t="s">
        <v>18</v>
      </c>
      <c r="C8" s="8" t="s">
        <v>14</v>
      </c>
      <c r="D8" s="8" t="s">
        <v>19</v>
      </c>
      <c r="E8" s="6"/>
      <c r="F8" s="6"/>
      <c r="G8" s="6"/>
      <c r="H8" s="6"/>
      <c r="I8" s="6"/>
      <c r="J8" s="6"/>
      <c r="K8" s="5"/>
    </row>
    <row r="9" customFormat="false" ht="15.75" hidden="false" customHeight="true" outlineLevel="0" collapsed="false">
      <c r="A9" s="7" t="n">
        <v>46329</v>
      </c>
      <c r="B9" s="8" t="s">
        <v>18</v>
      </c>
      <c r="C9" s="8" t="s">
        <v>16</v>
      </c>
      <c r="D9" s="8" t="s">
        <v>19</v>
      </c>
      <c r="E9" s="6"/>
      <c r="F9" s="6"/>
      <c r="G9" s="6"/>
      <c r="H9" s="6"/>
      <c r="I9" s="6"/>
      <c r="J9" s="6"/>
      <c r="K9" s="5"/>
    </row>
    <row r="10" customFormat="false" ht="15.75" hidden="false" customHeight="true" outlineLevel="0" collapsed="false">
      <c r="A10" s="7" t="n">
        <v>46329</v>
      </c>
      <c r="B10" s="8" t="s">
        <v>18</v>
      </c>
      <c r="C10" s="8" t="s">
        <v>17</v>
      </c>
      <c r="D10" s="8" t="s">
        <v>19</v>
      </c>
      <c r="E10" s="6"/>
      <c r="F10" s="6"/>
      <c r="G10" s="6"/>
      <c r="H10" s="6"/>
      <c r="I10" s="6"/>
      <c r="J10" s="6"/>
      <c r="K10" s="5"/>
    </row>
    <row r="11" customFormat="false" ht="15.75" hidden="false" customHeight="true" outlineLevel="0" collapsed="false">
      <c r="A11" s="4" t="n">
        <v>46330</v>
      </c>
      <c r="B11" s="5" t="s">
        <v>20</v>
      </c>
      <c r="C11" s="5" t="s">
        <v>14</v>
      </c>
      <c r="D11" s="5" t="s">
        <v>21</v>
      </c>
      <c r="E11" s="6"/>
      <c r="F11" s="6"/>
      <c r="G11" s="6"/>
      <c r="H11" s="6"/>
      <c r="I11" s="6"/>
      <c r="J11" s="6"/>
      <c r="K11" s="5"/>
    </row>
    <row r="12" customFormat="false" ht="15.75" hidden="false" customHeight="true" outlineLevel="0" collapsed="false">
      <c r="A12" s="4" t="n">
        <v>46330</v>
      </c>
      <c r="B12" s="5" t="s">
        <v>20</v>
      </c>
      <c r="C12" s="5" t="s">
        <v>16</v>
      </c>
      <c r="D12" s="5" t="s">
        <v>21</v>
      </c>
      <c r="E12" s="6"/>
      <c r="F12" s="6"/>
      <c r="G12" s="6"/>
      <c r="H12" s="6"/>
      <c r="I12" s="6"/>
      <c r="J12" s="6"/>
      <c r="K12" s="5"/>
    </row>
    <row r="13" customFormat="false" ht="15.75" hidden="false" customHeight="true" outlineLevel="0" collapsed="false">
      <c r="A13" s="4" t="n">
        <v>46330</v>
      </c>
      <c r="B13" s="5" t="s">
        <v>20</v>
      </c>
      <c r="C13" s="5" t="s">
        <v>17</v>
      </c>
      <c r="D13" s="5" t="s">
        <v>21</v>
      </c>
      <c r="E13" s="6"/>
      <c r="F13" s="6"/>
      <c r="G13" s="6"/>
      <c r="H13" s="6"/>
      <c r="I13" s="6"/>
      <c r="J13" s="6"/>
      <c r="K13" s="5"/>
    </row>
    <row r="14" customFormat="false" ht="15.75" hidden="false" customHeight="true" outlineLevel="0" collapsed="false">
      <c r="A14" s="4" t="n">
        <v>46331</v>
      </c>
      <c r="B14" s="5" t="s">
        <v>22</v>
      </c>
      <c r="C14" s="5" t="s">
        <v>14</v>
      </c>
      <c r="D14" s="5" t="s">
        <v>21</v>
      </c>
      <c r="E14" s="6"/>
      <c r="F14" s="6"/>
      <c r="G14" s="6"/>
      <c r="H14" s="6"/>
      <c r="I14" s="6"/>
      <c r="J14" s="6"/>
      <c r="K14" s="5"/>
    </row>
    <row r="15" customFormat="false" ht="15.75" hidden="false" customHeight="true" outlineLevel="0" collapsed="false">
      <c r="A15" s="4" t="n">
        <v>46331</v>
      </c>
      <c r="B15" s="5" t="s">
        <v>22</v>
      </c>
      <c r="C15" s="5" t="s">
        <v>16</v>
      </c>
      <c r="D15" s="5" t="s">
        <v>21</v>
      </c>
      <c r="E15" s="6"/>
      <c r="F15" s="6"/>
      <c r="G15" s="6"/>
      <c r="H15" s="6"/>
      <c r="I15" s="6"/>
      <c r="J15" s="6"/>
      <c r="K15" s="5"/>
    </row>
    <row r="16" customFormat="false" ht="15.75" hidden="false" customHeight="true" outlineLevel="0" collapsed="false">
      <c r="A16" s="4" t="n">
        <v>46331</v>
      </c>
      <c r="B16" s="5" t="s">
        <v>22</v>
      </c>
      <c r="C16" s="5" t="s">
        <v>17</v>
      </c>
      <c r="D16" s="5" t="s">
        <v>21</v>
      </c>
      <c r="E16" s="6"/>
      <c r="F16" s="6"/>
      <c r="G16" s="6"/>
      <c r="H16" s="6"/>
      <c r="I16" s="6"/>
      <c r="J16" s="6"/>
      <c r="K16" s="5"/>
    </row>
    <row r="17" customFormat="false" ht="15.75" hidden="false" customHeight="true" outlineLevel="0" collapsed="false">
      <c r="A17" s="7" t="n">
        <v>46332</v>
      </c>
      <c r="B17" s="8" t="s">
        <v>23</v>
      </c>
      <c r="C17" s="8" t="s">
        <v>14</v>
      </c>
      <c r="D17" s="8" t="s">
        <v>24</v>
      </c>
      <c r="E17" s="6"/>
      <c r="F17" s="6"/>
      <c r="G17" s="6"/>
      <c r="H17" s="6"/>
      <c r="I17" s="6"/>
      <c r="J17" s="6"/>
      <c r="K17" s="5"/>
    </row>
    <row r="18" customFormat="false" ht="15.75" hidden="false" customHeight="true" outlineLevel="0" collapsed="false">
      <c r="A18" s="7" t="n">
        <v>46332</v>
      </c>
      <c r="B18" s="8" t="s">
        <v>23</v>
      </c>
      <c r="C18" s="8" t="s">
        <v>16</v>
      </c>
      <c r="D18" s="8" t="s">
        <v>24</v>
      </c>
      <c r="E18" s="6"/>
      <c r="F18" s="6"/>
      <c r="G18" s="6"/>
      <c r="H18" s="6"/>
      <c r="I18" s="6"/>
      <c r="J18" s="6"/>
      <c r="K18" s="5"/>
    </row>
    <row r="19" customFormat="false" ht="15.75" hidden="false" customHeight="true" outlineLevel="0" collapsed="false">
      <c r="A19" s="7" t="n">
        <v>46332</v>
      </c>
      <c r="B19" s="8" t="s">
        <v>23</v>
      </c>
      <c r="C19" s="8" t="s">
        <v>17</v>
      </c>
      <c r="D19" s="8" t="s">
        <v>24</v>
      </c>
      <c r="E19" s="6"/>
      <c r="F19" s="6"/>
      <c r="G19" s="6"/>
      <c r="H19" s="6"/>
      <c r="I19" s="6"/>
      <c r="J19" s="6"/>
      <c r="K19" s="5"/>
    </row>
    <row r="20" customFormat="false" ht="15.75" hidden="false" customHeight="true" outlineLevel="0" collapsed="false">
      <c r="A20" s="4" t="n">
        <v>46333</v>
      </c>
      <c r="B20" s="5" t="s">
        <v>25</v>
      </c>
      <c r="C20" s="5" t="s">
        <v>14</v>
      </c>
      <c r="D20" s="5" t="s">
        <v>21</v>
      </c>
      <c r="E20" s="6"/>
      <c r="F20" s="6"/>
      <c r="G20" s="6"/>
      <c r="H20" s="6"/>
      <c r="I20" s="6"/>
      <c r="J20" s="6"/>
      <c r="K20" s="5"/>
    </row>
    <row r="21" customFormat="false" ht="15.75" hidden="false" customHeight="true" outlineLevel="0" collapsed="false">
      <c r="A21" s="4" t="n">
        <v>46333</v>
      </c>
      <c r="B21" s="5" t="s">
        <v>25</v>
      </c>
      <c r="C21" s="5" t="s">
        <v>16</v>
      </c>
      <c r="D21" s="5" t="s">
        <v>21</v>
      </c>
      <c r="E21" s="6"/>
      <c r="F21" s="6"/>
      <c r="G21" s="6"/>
      <c r="H21" s="6"/>
      <c r="I21" s="6"/>
      <c r="J21" s="6"/>
      <c r="K21" s="5"/>
    </row>
    <row r="22" customFormat="false" ht="15.75" hidden="false" customHeight="true" outlineLevel="0" collapsed="false">
      <c r="A22" s="4" t="n">
        <v>46333</v>
      </c>
      <c r="B22" s="5" t="s">
        <v>25</v>
      </c>
      <c r="C22" s="5" t="s">
        <v>17</v>
      </c>
      <c r="D22" s="5" t="s">
        <v>21</v>
      </c>
      <c r="E22" s="6"/>
      <c r="F22" s="6"/>
      <c r="G22" s="6"/>
      <c r="H22" s="6"/>
      <c r="I22" s="6"/>
      <c r="J22" s="6"/>
      <c r="K22" s="5"/>
    </row>
    <row r="23" customFormat="false" ht="29.25" hidden="false" customHeight="true" outlineLevel="0" collapsed="false">
      <c r="A23" s="7" t="n">
        <v>46334</v>
      </c>
      <c r="B23" s="8" t="s">
        <v>26</v>
      </c>
      <c r="C23" s="8" t="s">
        <v>14</v>
      </c>
      <c r="D23" s="8" t="s">
        <v>27</v>
      </c>
      <c r="E23" s="6"/>
      <c r="F23" s="6"/>
      <c r="G23" s="6"/>
      <c r="H23" s="6"/>
      <c r="I23" s="6"/>
      <c r="J23" s="6"/>
      <c r="K23" s="5"/>
    </row>
    <row r="24" customFormat="false" ht="29.25" hidden="false" customHeight="true" outlineLevel="0" collapsed="false">
      <c r="A24" s="7" t="n">
        <v>46334</v>
      </c>
      <c r="B24" s="8" t="s">
        <v>26</v>
      </c>
      <c r="C24" s="8" t="s">
        <v>16</v>
      </c>
      <c r="D24" s="8" t="s">
        <v>27</v>
      </c>
      <c r="E24" s="6"/>
      <c r="F24" s="6"/>
      <c r="G24" s="6"/>
      <c r="H24" s="6"/>
      <c r="I24" s="6"/>
      <c r="J24" s="6"/>
      <c r="K24" s="5"/>
    </row>
    <row r="25" customFormat="false" ht="29.25" hidden="false" customHeight="true" outlineLevel="0" collapsed="false">
      <c r="A25" s="7" t="n">
        <v>46334</v>
      </c>
      <c r="B25" s="8" t="s">
        <v>26</v>
      </c>
      <c r="C25" s="8" t="s">
        <v>17</v>
      </c>
      <c r="D25" s="8" t="s">
        <v>27</v>
      </c>
      <c r="E25" s="6"/>
      <c r="F25" s="6"/>
      <c r="G25" s="6"/>
      <c r="H25" s="6"/>
      <c r="I25" s="6"/>
      <c r="J25" s="6"/>
      <c r="K25" s="5"/>
    </row>
  </sheetData>
  <autoFilter ref="A4:K25"/>
  <conditionalFormatting sqref="G5:G25">
    <cfRule type="cellIs" priority="2" operator="equal" aboveAverage="0" equalAverage="0" bottom="0" percent="0" rank="0" text="" dxfId="5">
      <formula>"Sí"</formula>
    </cfRule>
  </conditionalFormatting>
  <dataValidations count="2">
    <dataValidation allowBlank="true" error="Elige un valor de la lista." errorStyle="stop" errorTitle="Valor no válido" operator="between" showDropDown="false" showErrorMessage="false" showInputMessage="false" sqref="G5:G25" type="list">
      <formula1>"Sí,No"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C5:C25" type="list">
      <formula1>"Bryan,Francisco,Damaris"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23.85" hidden="false" customHeight="false" outlineLevel="0" collapsed="false">
      <c r="A4" s="3" t="s">
        <v>4</v>
      </c>
      <c r="B4" s="3" t="s">
        <v>30</v>
      </c>
      <c r="C4" s="3" t="s">
        <v>31</v>
      </c>
      <c r="D4" s="3" t="s">
        <v>32</v>
      </c>
    </row>
    <row r="5" customFormat="false" ht="15" hidden="false" customHeight="false" outlineLevel="0" collapsed="false">
      <c r="A5" s="9" t="s">
        <v>14</v>
      </c>
      <c r="B5" s="10" t="n">
        <f aca="false">COUNTIFS('Registro diario'!$C$5:$C$25,$A5,'Registro diario'!$E$5:$E$25,"&lt;&gt;")</f>
        <v>0</v>
      </c>
      <c r="C5" s="10" t="n">
        <f aca="false">COUNTIFS('Registro diario'!$C$5:$C$25,$A5,'Registro diario'!$G$5:$G$25,"Sí")</f>
        <v>0</v>
      </c>
      <c r="D5" s="10" t="n">
        <f aca="false">COUNTIFS('Registro diario'!$C$5:$C$25,$A5,'Registro diario'!$I$5:$I$25,"&lt;&gt;")</f>
        <v>0</v>
      </c>
    </row>
    <row r="6" customFormat="false" ht="15" hidden="false" customHeight="false" outlineLevel="0" collapsed="false">
      <c r="A6" s="9" t="s">
        <v>16</v>
      </c>
      <c r="B6" s="10" t="n">
        <f aca="false">COUNTIFS('Registro diario'!$C$5:$C$25,$A6,'Registro diario'!$E$5:$E$25,"&lt;&gt;")</f>
        <v>0</v>
      </c>
      <c r="C6" s="10" t="n">
        <f aca="false">COUNTIFS('Registro diario'!$C$5:$C$25,$A6,'Registro diario'!$G$5:$G$25,"Sí")</f>
        <v>0</v>
      </c>
      <c r="D6" s="10" t="n">
        <f aca="false">COUNTIFS('Registro diario'!$C$5:$C$25,$A6,'Registro diario'!$I$5:$I$25,"&lt;&gt;")</f>
        <v>0</v>
      </c>
    </row>
    <row r="7" customFormat="false" ht="15" hidden="false" customHeight="false" outlineLevel="0" collapsed="false">
      <c r="A7" s="9" t="s">
        <v>17</v>
      </c>
      <c r="B7" s="10" t="n">
        <f aca="false">COUNTIFS('Registro diario'!$C$5:$C$25,$A7,'Registro diario'!$E$5:$E$25,"&lt;&gt;")</f>
        <v>0</v>
      </c>
      <c r="C7" s="10" t="n">
        <f aca="false">COUNTIFS('Registro diario'!$C$5:$C$25,$A7,'Registro diario'!$G$5:$G$25,"Sí")</f>
        <v>0</v>
      </c>
      <c r="D7" s="10" t="n">
        <f aca="false">COUNTIFS('Registro diario'!$C$5:$C$25,$A7,'Registro diario'!$I$5:$I$25,"&lt;&gt;")</f>
        <v>0</v>
      </c>
    </row>
    <row r="8" customFormat="false" ht="15" hidden="false" customHeight="false" outlineLevel="0" collapsed="false">
      <c r="A8" s="9" t="s">
        <v>33</v>
      </c>
      <c r="B8" s="11" t="n">
        <f aca="false">SUM(B5:B7)</f>
        <v>0</v>
      </c>
      <c r="C8" s="11" t="n">
        <f aca="false">SUM(C5:C7)</f>
        <v>0</v>
      </c>
      <c r="D8" s="11" t="n">
        <f aca="false">SUM(D5:D7)</f>
        <v>0</v>
      </c>
    </row>
    <row r="10" customFormat="false" ht="15" hidden="false" customHeight="false" outlineLevel="0" collapsed="false">
      <c r="A10" s="9" t="s">
        <v>34</v>
      </c>
      <c r="B10" s="12" t="n">
        <v>7</v>
      </c>
    </row>
    <row r="12" customFormat="false" ht="15" hidden="false" customHeight="false" outlineLevel="0" collapsed="false">
      <c r="A12" s="13" t="s">
        <v>35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14" t="s">
        <v>37</v>
      </c>
    </row>
    <row r="4" customFormat="false" ht="29.25" hidden="false" customHeight="true" outlineLevel="0" collapsed="false">
      <c r="A4" s="9" t="s">
        <v>38</v>
      </c>
      <c r="B4" s="5" t="s">
        <v>39</v>
      </c>
    </row>
    <row r="5" customFormat="false" ht="15.75" hidden="false" customHeight="true" outlineLevel="0" collapsed="false">
      <c r="A5" s="9" t="s">
        <v>40</v>
      </c>
      <c r="B5" s="5" t="s">
        <v>41</v>
      </c>
    </row>
    <row r="6" customFormat="false" ht="15.75" hidden="false" customHeight="true" outlineLevel="0" collapsed="false">
      <c r="A6" s="9" t="s">
        <v>8</v>
      </c>
      <c r="B6" s="5" t="s">
        <v>42</v>
      </c>
    </row>
    <row r="7" customFormat="false" ht="29.25" hidden="false" customHeight="true" outlineLevel="0" collapsed="false">
      <c r="A7" s="9" t="s">
        <v>43</v>
      </c>
      <c r="B7" s="5" t="s">
        <v>44</v>
      </c>
    </row>
    <row r="8" customFormat="false" ht="29.25" hidden="false" customHeight="true" outlineLevel="0" collapsed="false">
      <c r="A8" s="9" t="s">
        <v>45</v>
      </c>
      <c r="B8" s="5" t="s">
        <v>46</v>
      </c>
    </row>
    <row r="9" customFormat="false" ht="29.25" hidden="false" customHeight="true" outlineLevel="0" collapsed="false">
      <c r="A9" s="9" t="s">
        <v>5</v>
      </c>
      <c r="B9" s="5" t="s">
        <v>47</v>
      </c>
    </row>
    <row r="11" customFormat="false" ht="15" hidden="false" customHeight="false" outlineLevel="0" collapsed="false">
      <c r="A11" s="14" t="s">
        <v>48</v>
      </c>
    </row>
    <row r="12" customFormat="false" ht="15.75" hidden="false" customHeight="true" outlineLevel="0" collapsed="false">
      <c r="A12" s="9" t="s">
        <v>2</v>
      </c>
      <c r="B12" s="5" t="s">
        <v>49</v>
      </c>
    </row>
    <row r="13" customFormat="false" ht="15.75" hidden="false" customHeight="true" outlineLevel="0" collapsed="false">
      <c r="A13" s="9" t="s">
        <v>4</v>
      </c>
      <c r="B13" s="5" t="s">
        <v>50</v>
      </c>
    </row>
    <row r="14" customFormat="false" ht="15.75" hidden="false" customHeight="true" outlineLevel="0" collapsed="false">
      <c r="A14" s="9" t="s">
        <v>51</v>
      </c>
      <c r="B14" s="5" t="s">
        <v>52</v>
      </c>
    </row>
    <row r="15" customFormat="false" ht="15.75" hidden="false" customHeight="true" outlineLevel="0" collapsed="false">
      <c r="A15" s="9" t="s">
        <v>53</v>
      </c>
      <c r="B15" s="5" t="s">
        <v>54</v>
      </c>
    </row>
    <row r="16" customFormat="false" ht="15.75" hidden="false" customHeight="true" outlineLevel="0" collapsed="false">
      <c r="A16" s="9" t="s">
        <v>8</v>
      </c>
      <c r="B16" s="5" t="s">
        <v>55</v>
      </c>
    </row>
    <row r="17" customFormat="false" ht="15.75" hidden="false" customHeight="true" outlineLevel="0" collapsed="false">
      <c r="A17" s="9" t="s">
        <v>56</v>
      </c>
      <c r="B17" s="5" t="s">
        <v>57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2026-09-27T18:57:12Z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